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Lectures/"/>
    </mc:Choice>
  </mc:AlternateContent>
  <xr:revisionPtr revIDLastSave="123" documentId="8_{747881E2-AFA8-4429-B00F-44A5E13F6C45}" xr6:coauthVersionLast="47" xr6:coauthVersionMax="47" xr10:uidLastSave="{6E50CD84-4E33-40D0-B8ED-5DA7E6D97602}"/>
  <bookViews>
    <workbookView xWindow="-108" yWindow="-108" windowWidth="23256" windowHeight="12456" xr2:uid="{1F2915B5-F0EF-4173-9DB3-84499372076E}"/>
  </bookViews>
  <sheets>
    <sheet name="Sheet1" sheetId="1" r:id="rId1"/>
  </sheets>
  <definedNames>
    <definedName name="_xlchart.v1.0" hidden="1">Sheet1!$J$3:$J$8</definedName>
    <definedName name="_xlchart.v1.1" hidden="1">Sheet1!$K$3:$K$8</definedName>
    <definedName name="_xlchart.v1.2" hidden="1">Sheet1!$L$3:$L$8</definedName>
    <definedName name="_xlchart.v1.3" hidden="1">Sheet1!$J$3:$J$8</definedName>
    <definedName name="_xlchart.v1.4" hidden="1">Sheet1!$K$3:$K$8</definedName>
    <definedName name="_xlchart.v1.5" hidden="1">Sheet1!$L$3:$L$8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 a="1"/>
  <c r="P3" i="1" s="1"/>
  <c r="O3" i="1" a="1"/>
  <c r="O3" i="1" s="1"/>
  <c r="K6" i="1"/>
  <c r="L3" i="1"/>
  <c r="J4" i="1"/>
  <c r="K4" i="1"/>
  <c r="L4" i="1"/>
  <c r="J5" i="1"/>
  <c r="K5" i="1"/>
  <c r="L5" i="1"/>
  <c r="J6" i="1"/>
  <c r="L6" i="1"/>
  <c r="J7" i="1"/>
  <c r="K7" i="1"/>
  <c r="L7" i="1"/>
  <c r="J8" i="1"/>
  <c r="K8" i="1"/>
  <c r="L8" i="1"/>
  <c r="K3" i="1"/>
  <c r="J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<sst xmlns="http://schemas.openxmlformats.org/spreadsheetml/2006/main" count="46" uniqueCount="26">
  <si>
    <t>Plane</t>
  </si>
  <si>
    <t>w/ clip</t>
  </si>
  <si>
    <t>A</t>
  </si>
  <si>
    <t>B</t>
  </si>
  <si>
    <t>C</t>
  </si>
  <si>
    <t>w/o clip</t>
  </si>
  <si>
    <t>unit = inches</t>
  </si>
  <si>
    <t>Anova: Two-Factor With Replication</t>
  </si>
  <si>
    <t>SUMMARY</t>
  </si>
  <si>
    <t>Total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</si>
  <si>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</si>
  <si>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</si>
  <si>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</si>
  <si>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</si>
  <si>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</si>
  <si>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</si>
  <si>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</si>
  <si>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</si>
  <si>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</si>
  <si>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</si>
  <si>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</si>
  <si>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</si>
  <si>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Sample</t>
  </si>
  <si>
    <t>Columns</t>
  </si>
  <si>
    <t>Interaction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</si>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</sst>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Fill="1" applyBorder="1" applyAlignment="1"/>
    <xf numFmtId="0" fontId="1" fillId="0" borderId="2" xfId="0" applyFont="1" applyFill="1" applyBorder="1" applyAlignment="1">
      <alignment horizontal="right"/>
    </xf>
    <xf numFmtId="0" fontId="0" fillId="0" borderId="3" xfId="0" applyFill="1" applyBorder="1" applyAlignment="1"/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Sheet1!$O$3:$O$20</c:f>
              <c:numCache>
                <c:formatCode>General</c:formatCode>
                <c:ptCount val="18"/>
                <c:pt idx="0">
                  <c:v>505.33333333333331</c:v>
                </c:pt>
                <c:pt idx="1">
                  <c:v>764</c:v>
                </c:pt>
                <c:pt idx="2">
                  <c:v>654</c:v>
                </c:pt>
                <c:pt idx="3">
                  <c:v>505.33333333333331</c:v>
                </c:pt>
                <c:pt idx="4">
                  <c:v>764</c:v>
                </c:pt>
                <c:pt idx="5">
                  <c:v>654</c:v>
                </c:pt>
                <c:pt idx="6">
                  <c:v>505.33333333333331</c:v>
                </c:pt>
                <c:pt idx="7">
                  <c:v>764</c:v>
                </c:pt>
                <c:pt idx="8">
                  <c:v>654</c:v>
                </c:pt>
                <c:pt idx="9">
                  <c:v>651.33333333333337</c:v>
                </c:pt>
                <c:pt idx="10">
                  <c:v>604.33333333333337</c:v>
                </c:pt>
                <c:pt idx="11">
                  <c:v>486.33333333333331</c:v>
                </c:pt>
                <c:pt idx="12">
                  <c:v>651.33333333333337</c:v>
                </c:pt>
                <c:pt idx="13">
                  <c:v>604.33333333333337</c:v>
                </c:pt>
                <c:pt idx="14">
                  <c:v>486.33333333333331</c:v>
                </c:pt>
                <c:pt idx="15">
                  <c:v>651.33333333333337</c:v>
                </c:pt>
                <c:pt idx="16">
                  <c:v>604.33333333333337</c:v>
                </c:pt>
                <c:pt idx="17">
                  <c:v>486.33333333333331</c:v>
                </c:pt>
              </c:numCache>
            </c:numRef>
          </c:xVal>
          <c:yVal>
            <c:numRef>
              <c:f>Sheet1!$P$3:$P$20</c:f>
              <c:numCache>
                <c:formatCode>General</c:formatCode>
                <c:ptCount val="18"/>
                <c:pt idx="0">
                  <c:v>66.666666666666686</c:v>
                </c:pt>
                <c:pt idx="1">
                  <c:v>52</c:v>
                </c:pt>
                <c:pt idx="2">
                  <c:v>-18</c:v>
                </c:pt>
                <c:pt idx="3">
                  <c:v>16.666666666666686</c:v>
                </c:pt>
                <c:pt idx="4">
                  <c:v>-20</c:v>
                </c:pt>
                <c:pt idx="5">
                  <c:v>6</c:v>
                </c:pt>
                <c:pt idx="6">
                  <c:v>-83.333333333333314</c:v>
                </c:pt>
                <c:pt idx="7">
                  <c:v>-32</c:v>
                </c:pt>
                <c:pt idx="8">
                  <c:v>12</c:v>
                </c:pt>
                <c:pt idx="9">
                  <c:v>133.66666666666663</c:v>
                </c:pt>
                <c:pt idx="10">
                  <c:v>4.6666666666666288</c:v>
                </c:pt>
                <c:pt idx="11">
                  <c:v>-54.333333333333314</c:v>
                </c:pt>
                <c:pt idx="12">
                  <c:v>-70.333333333333371</c:v>
                </c:pt>
                <c:pt idx="13">
                  <c:v>-12.333333333333371</c:v>
                </c:pt>
                <c:pt idx="14">
                  <c:v>228.66666666666669</c:v>
                </c:pt>
                <c:pt idx="15">
                  <c:v>-63.333333333333371</c:v>
                </c:pt>
                <c:pt idx="16">
                  <c:v>7.6666666666666288</c:v>
                </c:pt>
                <c:pt idx="17">
                  <c:v>-174.33333333333331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7-4A87-BB13-A8EC82CF6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88784"/>
        <c:axId val="455991664"/>
      </c:scatterChart>
      <c:valAx>
        <c:axId val="455988784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91664"/>
        <c:crosses val="autoZero"/>
        <c:crossBetween val="midCat"/>
      </c:valAx>
      <c:valAx>
        <c:axId val="4559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8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Sheet1!$R$4</c:f>
              <c:strCache>
                <c:ptCount val="1"/>
                <c:pt idx="0">
                  <c:v>w/ clip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Sheet1!$S$3:$U$3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Sheet1!$S$4:$U$4</c:f>
              <c:numCache>
                <c:formatCode>General</c:formatCode>
                <c:ptCount val="3"/>
                <c:pt idx="0">
                  <c:v>505.33333333333331</c:v>
                </c:pt>
                <c:pt idx="1">
                  <c:v>764</c:v>
                </c:pt>
                <c:pt idx="2">
                  <c:v>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0-4B78-98D4-2856ADDE5321}"/>
            </c:ext>
          </c:extLst>
        </c:ser>
        <c:ser>
          <c:idx val="1"/>
          <c:order val="1"/>
          <c:tx>
            <c:strRef>
              <c:f>Sheet1!$R$5</c:f>
              <c:strCache>
                <c:ptCount val="1"/>
                <c:pt idx="0">
                  <c:v>w/o clip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Sheet1!$S$3:$U$3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Sheet1!$S$5:$U$5</c:f>
              <c:numCache>
                <c:formatCode>General</c:formatCode>
                <c:ptCount val="3"/>
                <c:pt idx="0">
                  <c:v>651.33333333333337</c:v>
                </c:pt>
                <c:pt idx="1">
                  <c:v>604.33333333333337</c:v>
                </c:pt>
                <c:pt idx="2">
                  <c:v>486.33333333333331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0-4B78-98D4-2856ADDE5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952784"/>
        <c:axId val="455955664"/>
      </c:lineChart>
      <c:catAx>
        <c:axId val="45595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55664"/>
        <c:crosses val="autoZero"/>
        <c:auto val="1"/>
        <c:lblAlgn val="ctr"/>
        <c:lblOffset val="100"/>
        <c:noMultiLvlLbl val="0"/>
      </c:catAx>
      <c:valAx>
        <c:axId val="45595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5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68AB59E3-E353-4EB0-AD1B-26C9961B922E}" formatIdx="0">
          <cx:dataId val="0"/>
          <cx:layoutPr>
            <cx:binning intervalClosed="r">
              <cx:binCount val="5"/>
            </cx:binning>
          </cx:layoutPr>
        </cx:series>
        <cx:series layoutId="clusteredColumn" hidden="1" uniqueId="{40DA1714-39A1-402B-8BE8-6DFE5BD6AA29}" formatIdx="1">
          <cx:dataId val="1"/>
          <cx:layoutPr>
            <cx:binning intervalClosed="r"/>
          </cx:layoutPr>
        </cx:series>
        <cx:series layoutId="clusteredColumn" hidden="1" uniqueId="{1C01A90E-305C-4CC8-AD63-0BB63AEEB6BB}" formatIdx="2"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37505</xdr:colOff>
      <xdr:row>10</xdr:row>
      <xdr:rowOff>48621</xdr:rowOff>
    </xdr:from>
    <xdr:to>
      <xdr:col>7</xdr:col>
      <xdr:colOff>44457</xdr:colOff>
      <xdr:row>24</xdr:row>
      <xdr:rowOff>163698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73EFCEA-8B53-56E9-E1A3-423F8B9BCF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05" y="1859492"/>
              <a:ext cx="4596881" cy="2643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129988</xdr:colOff>
      <xdr:row>26</xdr:row>
      <xdr:rowOff>0</xdr:rowOff>
    </xdr:from>
    <xdr:to>
      <xdr:col>7</xdr:col>
      <xdr:colOff>112059</xdr:colOff>
      <xdr:row>41</xdr:row>
      <xdr:rowOff>44824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EFB577-0CF8-3859-E231-B5660AF67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339327</xdr:colOff>
      <xdr:row>24</xdr:row>
      <xdr:rowOff>110728</xdr:rowOff>
    </xdr:from>
    <xdr:to>
      <xdr:col>16</xdr:col>
      <xdr:colOff>53577</xdr:colOff>
      <xdr:row>39</xdr:row>
      <xdr:rowOff>163115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1515E0-E84F-D468-30D2-52ACC060B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A653-851C-4D7D-9FE6-A625D71FA452}">
  <dimension ref="A1:AD30"/>
  <sheetViews>
    <sheetView tabSelected="1" topLeftCell="A13" zoomScale="64" workbookViewId="0">
      <selection activeCell="U31" sqref="U31"/>
    </sheetView>
  </sheetViews>
  <sheetFormatPr defaultRowHeight="14.4" x14ac:dyDescent="0.3"/>
  <cols>
    <col min="2" max="4" width="8.88671875" customWidth="1"/>
    <col min="6" max="6" width="13.5546875" customWidth="1"/>
  </cols>
  <sheetData>
    <row r="1" spans="1:28" x14ac:dyDescent="0.3">
      <c r="A1" s="1"/>
      <c r="B1" s="2" t="s">
        <v>0</v>
      </c>
      <c r="C1" s="2"/>
      <c r="D1" s="2"/>
      <c r="F1" t="s">
        <v>6</v>
      </c>
      <c r="X1" t="s">
        <v>7</v>
      </c>
    </row>
    <row r="2" spans="1:28" x14ac:dyDescent="0.3">
      <c r="A2" s="1"/>
      <c r="B2" s="3" t="s">
        <v>2</v>
      </c>
      <c r="C2" s="3" t="s">
        <v>3</v>
      </c>
      <c r="D2" s="3" t="s">
        <v>4</v>
      </c>
    </row>
    <row r="3" spans="1:28" x14ac:dyDescent="0.3">
      <c r="A3" s="4" t="s">
        <v>1</v>
      </c>
      <c r="B3" s="1">
        <v>572</v>
      </c>
      <c r="C3" s="1">
        <v>816</v>
      </c>
      <c r="D3" s="1">
        <v>636</v>
      </c>
      <c r="F3" s="5">
        <v>505.33333333333331</v>
      </c>
      <c r="G3" s="5">
        <v>764</v>
      </c>
      <c r="H3" s="5">
        <v>654</v>
      </c>
      <c r="J3">
        <f>B3-F3</f>
        <v>66.666666666666686</v>
      </c>
      <c r="K3">
        <f t="shared" ref="K3:L3" si="0">C3-G3</f>
        <v>52</v>
      </c>
      <c r="L3">
        <f>D3-H3</f>
        <v>-18</v>
      </c>
      <c r="O3" cm="1">
        <f t="array" ref="O3:O20">_xlfn.TOCOL(F3:H8)</f>
        <v>505.33333333333331</v>
      </c>
      <c r="P3" cm="1">
        <f t="array" ref="P3:P20">_xlfn.TOCOL(J3:L8)</f>
        <v>66.666666666666686</v>
      </c>
      <c r="S3" t="s">
        <v>2</v>
      </c>
      <c r="T3" t="s">
        <v>3</v>
      </c>
      <c r="U3" t="s">
        <v>4</v>
      </c>
      <c r="X3" t="s">
        <v>8</v>
      </c>
      <c r="Y3" t="s">
        <v>2</v>
      </c>
      <c r="Z3" t="s">
        <v>3</v>
      </c>
      <c r="AA3" t="s">
        <v>4</v>
      </c>
      <c r="AB3" t="s">
        <v>9</v>
      </c>
    </row>
    <row r="4" spans="1:28" ht="15" thickBot="1" x14ac:dyDescent="0.35">
      <c r="A4" s="4"/>
      <c r="B4" s="1">
        <v>522</v>
      </c>
      <c r="C4" s="1">
        <v>744</v>
      </c>
      <c r="D4" s="1">
        <v>660</v>
      </c>
      <c r="F4" s="5">
        <v>505.33333333333331</v>
      </c>
      <c r="G4" s="5">
        <v>764</v>
      </c>
      <c r="H4" s="5">
        <v>654</v>
      </c>
      <c r="J4">
        <f t="shared" ref="J4:J8" si="1">B4-F4</f>
        <v>16.666666666666686</v>
      </c>
      <c r="K4">
        <f t="shared" ref="K4:K8" si="2">C4-G4</f>
        <v>-20</v>
      </c>
      <c r="L4">
        <f t="shared" ref="L4:L8" si="3">D4-H4</f>
        <v>6</v>
      </c>
      <c r="O4">
        <v>764</v>
      </c>
      <c r="P4">
        <v>52</v>
      </c>
      <c r="R4" s="5" t="s">
        <v>1</v>
      </c>
      <c r="S4" s="5">
        <v>505.33333333333331</v>
      </c>
      <c r="T4" s="5">
        <v>764</v>
      </c>
      <c r="U4" s="5">
        <v>654</v>
      </c>
      <c r="X4" s="6" t="s">
        <v>1</v>
      </c>
      <c r="Y4" s="6"/>
      <c r="Z4" s="6"/>
      <c r="AA4" s="6"/>
      <c r="AB4" s="6"/>
    </row>
    <row r="5" spans="1:28" x14ac:dyDescent="0.3">
      <c r="A5" s="4"/>
      <c r="B5" s="1">
        <v>422</v>
      </c>
      <c r="C5" s="1">
        <v>732</v>
      </c>
      <c r="D5" s="1">
        <v>666</v>
      </c>
      <c r="F5" s="5">
        <v>505.33333333333331</v>
      </c>
      <c r="G5" s="5">
        <v>764</v>
      </c>
      <c r="H5" s="5">
        <v>654</v>
      </c>
      <c r="J5">
        <f t="shared" si="1"/>
        <v>-83.333333333333314</v>
      </c>
      <c r="K5">
        <f t="shared" si="2"/>
        <v>-32</v>
      </c>
      <c r="L5">
        <f t="shared" si="3"/>
        <v>12</v>
      </c>
      <c r="O5">
        <v>654</v>
      </c>
      <c r="P5">
        <v>-18</v>
      </c>
      <c r="R5" s="5" t="s">
        <v>5</v>
      </c>
      <c r="S5" s="5">
        <v>651.33333333333337</v>
      </c>
      <c r="T5" s="5">
        <v>604.33333333333337</v>
      </c>
      <c r="U5" s="5">
        <v>486.33333333333331</v>
      </c>
      <c r="X5" s="5" t="s">
        <v>10</v>
      </c>
      <c r="Y5" s="5">
        <v>3</v>
      </c>
      <c r="Z5" s="5">
        <v>3</v>
      </c>
      <c r="AA5" s="5">
        <v>3</v>
      </c>
      <c r="AB5" s="5">
        <v>9</v>
      </c>
    </row>
    <row r="6" spans="1:28" x14ac:dyDescent="0.3">
      <c r="A6" s="4" t="s">
        <v>5</v>
      </c>
      <c r="B6" s="1">
        <v>785</v>
      </c>
      <c r="C6" s="1">
        <v>609</v>
      </c>
      <c r="D6" s="1">
        <v>432</v>
      </c>
      <c r="F6" s="5">
        <v>651.33333333333337</v>
      </c>
      <c r="G6" s="5">
        <v>604.33333333333337</v>
      </c>
      <c r="H6" s="5">
        <v>486.33333333333331</v>
      </c>
      <c r="J6">
        <f t="shared" si="1"/>
        <v>133.66666666666663</v>
      </c>
      <c r="K6">
        <f>C6-G6</f>
        <v>4.6666666666666288</v>
      </c>
      <c r="L6">
        <f t="shared" si="3"/>
        <v>-54.333333333333314</v>
      </c>
      <c r="O6">
        <v>505.33333333333331</v>
      </c>
      <c r="P6">
        <v>16.666666666666686</v>
      </c>
      <c r="X6" s="5" t="s">
        <v>11</v>
      </c>
      <c r="Y6" s="5">
        <v>1516</v>
      </c>
      <c r="Z6" s="5">
        <v>2292</v>
      </c>
      <c r="AA6" s="5">
        <v>1962</v>
      </c>
      <c r="AB6" s="5">
        <v>5770</v>
      </c>
    </row>
    <row r="7" spans="1:28" x14ac:dyDescent="0.3">
      <c r="A7" s="4"/>
      <c r="B7" s="1">
        <v>581</v>
      </c>
      <c r="C7" s="1">
        <v>592</v>
      </c>
      <c r="D7" s="1">
        <v>715</v>
      </c>
      <c r="F7" s="5">
        <v>651.33333333333337</v>
      </c>
      <c r="G7" s="5">
        <v>604.33333333333337</v>
      </c>
      <c r="H7" s="5">
        <v>486.33333333333331</v>
      </c>
      <c r="J7">
        <f t="shared" si="1"/>
        <v>-70.333333333333371</v>
      </c>
      <c r="K7">
        <f t="shared" si="2"/>
        <v>-12.333333333333371</v>
      </c>
      <c r="L7">
        <f t="shared" si="3"/>
        <v>228.66666666666669</v>
      </c>
      <c r="O7">
        <v>764</v>
      </c>
      <c r="P7">
        <v>-20</v>
      </c>
      <c r="X7" s="5" t="s">
        <v>12</v>
      </c>
      <c r="Y7" s="5">
        <v>505.33333333333331</v>
      </c>
      <c r="Z7" s="5">
        <v>764</v>
      </c>
      <c r="AA7" s="5">
        <v>654</v>
      </c>
      <c r="AB7" s="5">
        <v>641.11111111111109</v>
      </c>
    </row>
    <row r="8" spans="1:28" x14ac:dyDescent="0.3">
      <c r="A8" s="4"/>
      <c r="B8" s="1">
        <v>588</v>
      </c>
      <c r="C8" s="1">
        <v>612</v>
      </c>
      <c r="D8" s="1">
        <v>312</v>
      </c>
      <c r="F8" s="5">
        <v>651.33333333333337</v>
      </c>
      <c r="G8" s="5">
        <v>604.33333333333337</v>
      </c>
      <c r="H8" s="5">
        <v>486.33333333333331</v>
      </c>
      <c r="J8">
        <f t="shared" si="1"/>
        <v>-63.333333333333371</v>
      </c>
      <c r="K8">
        <f t="shared" si="2"/>
        <v>7.6666666666666288</v>
      </c>
      <c r="L8">
        <f t="shared" si="3"/>
        <v>-174.33333333333331</v>
      </c>
      <c r="O8">
        <v>654</v>
      </c>
      <c r="P8">
        <v>6</v>
      </c>
      <c r="X8" s="5" t="s">
        <v>13</v>
      </c>
      <c r="Y8" s="5">
        <v>5833.3333333333139</v>
      </c>
      <c r="Z8" s="5">
        <v>2064</v>
      </c>
      <c r="AA8" s="5">
        <v>252</v>
      </c>
      <c r="AB8" s="5">
        <v>14676.111111111124</v>
      </c>
    </row>
    <row r="9" spans="1:28" x14ac:dyDescent="0.3">
      <c r="O9">
        <v>505.33333333333331</v>
      </c>
      <c r="P9">
        <v>-83.333333333333314</v>
      </c>
      <c r="X9" s="5"/>
      <c r="Y9" s="5"/>
      <c r="Z9" s="5"/>
      <c r="AA9" s="5"/>
      <c r="AB9" s="5"/>
    </row>
    <row r="10" spans="1:28" ht="15" thickBot="1" x14ac:dyDescent="0.35">
      <c r="O10">
        <v>764</v>
      </c>
      <c r="P10">
        <v>-32</v>
      </c>
      <c r="X10" s="6" t="s">
        <v>5</v>
      </c>
      <c r="Y10" s="6"/>
      <c r="Z10" s="6"/>
      <c r="AA10" s="6"/>
      <c r="AB10" s="6"/>
    </row>
    <row r="11" spans="1:28" x14ac:dyDescent="0.3">
      <c r="O11">
        <v>654</v>
      </c>
      <c r="P11">
        <v>12</v>
      </c>
      <c r="X11" s="5" t="s">
        <v>10</v>
      </c>
      <c r="Y11" s="5">
        <v>3</v>
      </c>
      <c r="Z11" s="5">
        <v>3</v>
      </c>
      <c r="AA11" s="5">
        <v>3</v>
      </c>
      <c r="AB11" s="5">
        <v>9</v>
      </c>
    </row>
    <row r="12" spans="1:28" x14ac:dyDescent="0.3">
      <c r="O12">
        <v>651.33333333333337</v>
      </c>
      <c r="P12">
        <v>133.66666666666663</v>
      </c>
      <c r="X12" s="5" t="s">
        <v>11</v>
      </c>
      <c r="Y12" s="5">
        <v>1954</v>
      </c>
      <c r="Z12" s="5">
        <v>1813</v>
      </c>
      <c r="AA12" s="5">
        <v>1459</v>
      </c>
      <c r="AB12" s="5">
        <v>5226</v>
      </c>
    </row>
    <row r="13" spans="1:28" x14ac:dyDescent="0.3">
      <c r="O13">
        <v>604.33333333333337</v>
      </c>
      <c r="P13">
        <v>4.6666666666666288</v>
      </c>
      <c r="X13" s="5" t="s">
        <v>12</v>
      </c>
      <c r="Y13" s="5">
        <v>651.33333333333337</v>
      </c>
      <c r="Z13" s="5">
        <v>604.33333333333337</v>
      </c>
      <c r="AA13" s="5">
        <v>486.33333333333331</v>
      </c>
      <c r="AB13" s="5">
        <v>580.66666666666663</v>
      </c>
    </row>
    <row r="14" spans="1:28" x14ac:dyDescent="0.3">
      <c r="O14">
        <v>486.33333333333331</v>
      </c>
      <c r="P14">
        <v>-54.333333333333314</v>
      </c>
      <c r="X14" s="5" t="s">
        <v>13</v>
      </c>
      <c r="Y14" s="5">
        <v>13412.333333333372</v>
      </c>
      <c r="Z14" s="5">
        <v>116.33333333333334</v>
      </c>
      <c r="AA14" s="5">
        <v>42816.333333333314</v>
      </c>
      <c r="AB14" s="5">
        <v>19506</v>
      </c>
    </row>
    <row r="15" spans="1:28" x14ac:dyDescent="0.3">
      <c r="O15">
        <v>651.33333333333337</v>
      </c>
      <c r="P15">
        <v>-70.333333333333371</v>
      </c>
      <c r="X15" s="5"/>
      <c r="Y15" s="5"/>
      <c r="Z15" s="5"/>
      <c r="AA15" s="5"/>
      <c r="AB15" s="5"/>
    </row>
    <row r="16" spans="1:28" ht="15" thickBot="1" x14ac:dyDescent="0.35">
      <c r="O16">
        <v>604.33333333333337</v>
      </c>
      <c r="P16">
        <v>-12.333333333333371</v>
      </c>
      <c r="X16" s="6" t="s">
        <v>9</v>
      </c>
      <c r="Y16" s="6"/>
      <c r="Z16" s="6"/>
      <c r="AA16" s="6"/>
    </row>
    <row r="17" spans="8:30" x14ac:dyDescent="0.3">
      <c r="O17">
        <v>486.33333333333331</v>
      </c>
      <c r="P17">
        <v>228.66666666666669</v>
      </c>
      <c r="X17" s="5" t="s">
        <v>10</v>
      </c>
      <c r="Y17" s="5">
        <v>6</v>
      </c>
      <c r="Z17" s="5">
        <v>6</v>
      </c>
      <c r="AA17" s="5">
        <v>6</v>
      </c>
    </row>
    <row r="18" spans="8:30" x14ac:dyDescent="0.3">
      <c r="O18">
        <v>651.33333333333337</v>
      </c>
      <c r="P18">
        <v>-63.333333333333371</v>
      </c>
      <c r="X18" s="5" t="s">
        <v>11</v>
      </c>
      <c r="Y18" s="5">
        <v>3470</v>
      </c>
      <c r="Z18" s="5">
        <v>4105</v>
      </c>
      <c r="AA18" s="5">
        <v>3421</v>
      </c>
    </row>
    <row r="19" spans="8:30" x14ac:dyDescent="0.3">
      <c r="O19">
        <v>604.33333333333337</v>
      </c>
      <c r="P19">
        <v>7.6666666666666288</v>
      </c>
      <c r="X19" s="5" t="s">
        <v>12</v>
      </c>
      <c r="Y19" s="5">
        <v>578.33333333333337</v>
      </c>
      <c r="Z19" s="5">
        <v>684.16666666666663</v>
      </c>
      <c r="AA19" s="5">
        <v>570.16666666666663</v>
      </c>
    </row>
    <row r="20" spans="8:30" x14ac:dyDescent="0.3">
      <c r="O20">
        <v>486.33333333333331</v>
      </c>
      <c r="P20">
        <v>-174.33333333333331</v>
      </c>
      <c r="X20" s="5" t="s">
        <v>13</v>
      </c>
      <c r="Y20" s="5">
        <v>14093.066666666651</v>
      </c>
      <c r="Z20" s="5">
        <v>8520.166666666697</v>
      </c>
      <c r="AA20" s="5">
        <v>25660.966666666653</v>
      </c>
    </row>
    <row r="21" spans="8:30" x14ac:dyDescent="0.3">
      <c r="X21" s="5"/>
      <c r="Y21" s="5"/>
      <c r="Z21" s="5"/>
      <c r="AA21" s="5"/>
    </row>
    <row r="23" spans="8:30" ht="15" thickBot="1" x14ac:dyDescent="0.35">
      <c r="X23" t="s">
        <v>14</v>
      </c>
    </row>
    <row r="24" spans="8:30" x14ac:dyDescent="0.3">
      <c r="X24" s="8" t="s">
        <v>15</v>
      </c>
      <c r="Y24" s="8" t="s">
        <v>16</v>
      </c>
      <c r="Z24" s="8" t="s">
        <v>17</v>
      </c>
      <c r="AA24" s="8" t="s">
        <v>18</v>
      </c>
      <c r="AB24" s="8" t="s">
        <v>19</v>
      </c>
      <c r="AC24" s="8" t="s">
        <v>20</v>
      </c>
      <c r="AD24" s="8" t="s">
        <v>21</v>
      </c>
    </row>
    <row r="25" spans="8:30" x14ac:dyDescent="0.3">
      <c r="X25" s="5" t="s">
        <v>22</v>
      </c>
      <c r="Y25" s="5">
        <v>16440.888888888876</v>
      </c>
      <c r="Z25" s="5">
        <v>1</v>
      </c>
      <c r="AA25" s="5">
        <v>16440.888888888876</v>
      </c>
      <c r="AB25" s="5">
        <v>1.5295193893003509</v>
      </c>
      <c r="AC25" s="5">
        <v>0.23984250225721304</v>
      </c>
      <c r="AD25" s="5">
        <v>4.7472253467225149</v>
      </c>
    </row>
    <row r="26" spans="8:30" x14ac:dyDescent="0.3">
      <c r="X26" s="5" t="s">
        <v>23</v>
      </c>
      <c r="Y26" s="5">
        <v>48526.777777777752</v>
      </c>
      <c r="Z26" s="5">
        <v>2</v>
      </c>
      <c r="AA26" s="5">
        <v>24263.388888888876</v>
      </c>
      <c r="AB26" s="5">
        <v>2.2572577435743697</v>
      </c>
      <c r="AC26" s="5">
        <v>0.14719479619048811</v>
      </c>
      <c r="AD26" s="5">
        <v>3.8852938346523942</v>
      </c>
    </row>
    <row r="27" spans="8:30" x14ac:dyDescent="0.3">
      <c r="X27" s="5" t="s">
        <v>24</v>
      </c>
      <c r="Y27" s="5">
        <v>95941.444444444467</v>
      </c>
      <c r="Z27" s="5">
        <v>2</v>
      </c>
      <c r="AA27" s="5">
        <v>47970.722222222234</v>
      </c>
      <c r="AB27" s="5">
        <v>4.4627848441465154</v>
      </c>
      <c r="AC27" s="5">
        <v>3.556507546947793E-2</v>
      </c>
      <c r="AD27" s="5">
        <v>3.8852938346523942</v>
      </c>
    </row>
    <row r="28" spans="8:30" x14ac:dyDescent="0.3">
      <c r="H28" s="5"/>
      <c r="I28" s="5"/>
      <c r="J28" s="5"/>
      <c r="K28" s="5"/>
      <c r="L28" s="5"/>
      <c r="M28" s="5"/>
      <c r="N28" s="5"/>
      <c r="X28" s="5" t="s">
        <v>25</v>
      </c>
      <c r="Y28" s="5">
        <v>128988.66666666666</v>
      </c>
      <c r="Z28" s="5">
        <v>12</v>
      </c>
      <c r="AA28" s="5">
        <v>10749.055555555555</v>
      </c>
      <c r="AB28" s="5"/>
      <c r="AC28" s="5"/>
      <c r="AD28" s="5"/>
    </row>
    <row r="29" spans="8:30" x14ac:dyDescent="0.3">
      <c r="X29" s="5"/>
      <c r="Y29" s="5"/>
      <c r="Z29" s="5"/>
      <c r="AA29" s="5"/>
      <c r="AB29" s="5"/>
      <c r="AC29" s="5"/>
      <c r="AD29" s="5"/>
    </row>
    <row r="30" spans="8:30" ht="15" thickBot="1" x14ac:dyDescent="0.35">
      <c r="X30" s="7" t="s">
        <v>9</v>
      </c>
      <c r="Y30" s="7">
        <v>289897.77777777775</v>
      </c>
      <c r="Z30" s="7">
        <v>17</v>
      </c>
      <c r="AA30" s="7"/>
      <c r="AB30" s="7"/>
      <c r="AC30" s="7"/>
      <c r="AD30" s="7"/>
    </row>
  </sheetData>
  <mergeCells count="3">
    <mergeCell ref="B1:D1"/>
    <mergeCell ref="A3:A5"/>
    <mergeCell ref="A6:A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Ricks</dc:creator>
  <cp:lastModifiedBy>Seth Ricks</cp:lastModifiedBy>
  <dcterms:created xsi:type="dcterms:W3CDTF">2026-03-13T17:44:26Z</dcterms:created>
  <dcterms:modified xsi:type="dcterms:W3CDTF">2026-03-13T18:52:47Z</dcterms:modified>
</cp:coreProperties>
</file>