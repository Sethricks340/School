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cd5bde1dcad44f/Desktop/MATH330/Lectures/"/>
    </mc:Choice>
  </mc:AlternateContent>
  <xr:revisionPtr revIDLastSave="4" documentId="8_{60F6D4B1-ABF4-4CF4-B379-C035D4834ADB}" xr6:coauthVersionLast="47" xr6:coauthVersionMax="47" xr10:uidLastSave="{0B5D6639-1BBA-475C-8F47-DCB45ECDF02A}"/>
  <bookViews>
    <workbookView xWindow="-108" yWindow="-108" windowWidth="23256" windowHeight="12456" xr2:uid="{79E9973F-EAFE-4940-81E9-42C7859ADA59}"/>
  </bookViews>
  <sheets>
    <sheet name="Sheet1" sheetId="1" r:id="rId1"/>
  </sheets>
  <definedNames>
    <definedName name="_xlchart.v1.0" hidden="1">Sheet1!$S$1:$S$2</definedName>
    <definedName name="_xlchart.v1.1" hidden="1">Sheet1!$S$3:$S$61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1" l="1"/>
  <c r="X4" i="1"/>
  <c r="X3" i="1"/>
  <c r="U9" i="1"/>
  <c r="U8" i="1"/>
  <c r="U7" i="1"/>
  <c r="U6" i="1"/>
  <c r="U4" i="1"/>
  <c r="U3" i="1"/>
</calcChain>
</file>

<file path=xl/sharedStrings.xml><?xml version="1.0" encoding="utf-8"?>
<sst xmlns="http://schemas.openxmlformats.org/spreadsheetml/2006/main" count="283" uniqueCount="50">
  <si>
    <t>Index</t>
  </si>
  <si>
    <t xml:space="preserve">Book </t>
  </si>
  <si>
    <t>Chapter</t>
  </si>
  <si>
    <t>1 Nephi</t>
  </si>
  <si>
    <t>2 Nephi</t>
  </si>
  <si>
    <t>Jacob</t>
  </si>
  <si>
    <t>Enos</t>
  </si>
  <si>
    <t>Jarom</t>
  </si>
  <si>
    <t>Omni</t>
  </si>
  <si>
    <t>Words of Mormon</t>
  </si>
  <si>
    <t>Mosiah</t>
  </si>
  <si>
    <t>Alma</t>
  </si>
  <si>
    <t>Helaman</t>
  </si>
  <si>
    <t>3 Nephi</t>
  </si>
  <si>
    <t>4 Nephi</t>
  </si>
  <si>
    <t>Mormon</t>
  </si>
  <si>
    <t>Ether</t>
  </si>
  <si>
    <t>Moroni</t>
  </si>
  <si>
    <t>Helaman Ch 4</t>
  </si>
  <si>
    <t>Mormon Ch 1</t>
  </si>
  <si>
    <t>Ether Ch 14</t>
  </si>
  <si>
    <t xml:space="preserve">Alma Ch 10 </t>
  </si>
  <si>
    <t>Alma Ch 32</t>
  </si>
  <si>
    <t>Mosiah Ch 13</t>
  </si>
  <si>
    <t>Mosiah Ch 14</t>
  </si>
  <si>
    <t>3 Nephi Ch 22</t>
  </si>
  <si>
    <t xml:space="preserve">Alma Ch 36 </t>
  </si>
  <si>
    <t>Ether Ch 9</t>
  </si>
  <si>
    <t>1 Nephi Ch 10</t>
  </si>
  <si>
    <t>Alma Ch 61</t>
  </si>
  <si>
    <t>2 Nephi Ch 7</t>
  </si>
  <si>
    <t>2 Nephi Ch 16</t>
  </si>
  <si>
    <t>Mormon Ch 3</t>
  </si>
  <si>
    <t>Helaman Ch 6</t>
  </si>
  <si>
    <t>3 Nephi Ch 13</t>
  </si>
  <si>
    <t>3 Nephi Ch 20</t>
  </si>
  <si>
    <t>3 Nephi Ch 23</t>
  </si>
  <si>
    <t>1 Nephi Ch 3</t>
  </si>
  <si>
    <t>average</t>
  </si>
  <si>
    <t>st dev</t>
  </si>
  <si>
    <t xml:space="preserve">cl </t>
  </si>
  <si>
    <t>t*</t>
  </si>
  <si>
    <t>m</t>
  </si>
  <si>
    <t>LB</t>
  </si>
  <si>
    <t>UB</t>
  </si>
  <si>
    <t>test statistic</t>
  </si>
  <si>
    <t>mu</t>
  </si>
  <si>
    <t>p value</t>
  </si>
  <si>
    <t>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</si>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</sst>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color rgb="FF0A0A0A"/>
      <name val="Arial Unicode MS"/>
    </font>
    <font>
      <sz val="8"/>
      <color rgb="FF000000"/>
      <name val="Calibri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2" fillId="0" borderId="9" xfId="0" applyFont="1" applyBorder="1" applyAlignment="1">
      <alignment vertical="center" wrapText="1"/>
    </xf>
    <xf numFmtId="0" fontId="3" fillId="0" borderId="10" xfId="0" applyFont="1" applyBorder="1" applyAlignment="1">
      <alignment horizontal="right" vertical="center" wrapText="1"/>
    </xf>
    <xf numFmtId="0" fontId="2" fillId="0" borderId="11" xfId="0" applyFont="1" applyBorder="1" applyAlignment="1">
      <alignment vertical="center" wrapText="1"/>
    </xf>
    <xf numFmtId="0" fontId="3" fillId="0" borderId="1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8803E09B-ACC8-47A0-9658-8E706DABEF5B}">
          <cx:tx>
            <cx:txData>
              <cx:f>_xlchart.v1.0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603601</xdr:colOff>
      <xdr:row>6</xdr:row>
      <xdr:rowOff>180006</xdr:rowOff>
    </xdr:from>
    <xdr:to>
      <xdr:col>16</xdr:col>
      <xdr:colOff>567136</xdr:colOff>
      <xdr:row>18</xdr:row>
      <xdr:rowOff>47700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9FF39DE-73A7-F8AC-0805-C6E07DE05D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60461" y="1498266"/>
              <a:ext cx="4604115" cy="27632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C322-4086-4F95-9396-7AE7B884EAA7}">
  <sheetPr>
    <pageSetUpPr fitToPage="1"/>
  </sheetPr>
  <dimension ref="A1:X61"/>
  <sheetViews>
    <sheetView tabSelected="1" topLeftCell="J1" zoomScale="119" workbookViewId="0">
      <selection activeCell="X3" sqref="X3"/>
    </sheetView>
  </sheetViews>
  <sheetFormatPr defaultRowHeight="14.4"/>
  <cols>
    <col min="1" max="1" width="5.44140625" customWidth="1"/>
    <col min="2" max="2" width="15" customWidth="1"/>
    <col min="3" max="3" width="7.21875" customWidth="1"/>
    <col min="5" max="5" width="5.21875" customWidth="1"/>
    <col min="6" max="6" width="15" customWidth="1"/>
    <col min="7" max="7" width="7.21875" customWidth="1"/>
    <col min="9" max="9" width="5.21875" customWidth="1"/>
    <col min="10" max="10" width="15" customWidth="1"/>
    <col min="11" max="11" width="7.21875" customWidth="1"/>
    <col min="13" max="13" width="5.44140625" customWidth="1"/>
    <col min="14" max="14" width="15" customWidth="1"/>
    <col min="15" max="15" width="7.21875" customWidth="1"/>
    <col min="23" max="23" width="11.33203125" customWidth="1"/>
  </cols>
  <sheetData>
    <row r="1" spans="1:24">
      <c r="A1" s="1" t="s">
        <v>0</v>
      </c>
      <c r="B1" s="2" t="s">
        <v>1</v>
      </c>
      <c r="C1" s="3" t="s">
        <v>2</v>
      </c>
      <c r="E1" s="1" t="s">
        <v>0</v>
      </c>
      <c r="F1" s="2" t="s">
        <v>1</v>
      </c>
      <c r="G1" s="3" t="s">
        <v>2</v>
      </c>
      <c r="I1" s="1" t="s">
        <v>0</v>
      </c>
      <c r="J1" s="2" t="s">
        <v>1</v>
      </c>
      <c r="K1" s="3" t="s">
        <v>2</v>
      </c>
      <c r="M1" s="1" t="s">
        <v>0</v>
      </c>
      <c r="N1" s="2" t="s">
        <v>1</v>
      </c>
      <c r="O1" s="3" t="s">
        <v>2</v>
      </c>
      <c r="R1" s="9"/>
      <c r="S1" s="9"/>
    </row>
    <row r="2" spans="1:24" ht="15" thickBot="1">
      <c r="A2" s="4">
        <v>1</v>
      </c>
      <c r="B2" t="s">
        <v>3</v>
      </c>
      <c r="C2" s="5">
        <v>1</v>
      </c>
      <c r="E2" s="4">
        <v>61</v>
      </c>
      <c r="F2" t="s">
        <v>5</v>
      </c>
      <c r="G2" s="5">
        <v>6</v>
      </c>
      <c r="I2" s="4">
        <v>121</v>
      </c>
      <c r="J2" t="s">
        <v>11</v>
      </c>
      <c r="K2" s="5">
        <v>26</v>
      </c>
      <c r="M2" s="4">
        <v>181</v>
      </c>
      <c r="N2" t="s">
        <v>13</v>
      </c>
      <c r="O2" s="5">
        <v>7</v>
      </c>
      <c r="R2" s="9"/>
      <c r="S2" s="9"/>
    </row>
    <row r="3" spans="1:24" ht="21" thickBot="1">
      <c r="A3" s="4">
        <v>2</v>
      </c>
      <c r="B3" t="s">
        <v>3</v>
      </c>
      <c r="C3" s="5">
        <v>2</v>
      </c>
      <c r="E3" s="4">
        <v>62</v>
      </c>
      <c r="F3" t="s">
        <v>5</v>
      </c>
      <c r="G3" s="5">
        <v>7</v>
      </c>
      <c r="I3" s="4">
        <v>122</v>
      </c>
      <c r="J3" t="s">
        <v>11</v>
      </c>
      <c r="K3" s="5">
        <v>27</v>
      </c>
      <c r="M3" s="4">
        <v>182</v>
      </c>
      <c r="N3" t="s">
        <v>13</v>
      </c>
      <c r="O3" s="5">
        <v>8</v>
      </c>
      <c r="R3" s="10" t="s">
        <v>18</v>
      </c>
      <c r="S3" s="11">
        <v>26</v>
      </c>
      <c r="T3" t="s">
        <v>38</v>
      </c>
      <c r="U3">
        <f>AVERAGE(S:S)</f>
        <v>32.75</v>
      </c>
      <c r="W3" t="s">
        <v>45</v>
      </c>
      <c r="X3">
        <f>(U3-U10)/(12/SQRT(20))</f>
        <v>-0.83852549156242118</v>
      </c>
    </row>
    <row r="4" spans="1:24" ht="21" thickBot="1">
      <c r="A4" s="4">
        <v>3</v>
      </c>
      <c r="B4" t="s">
        <v>3</v>
      </c>
      <c r="C4" s="5">
        <v>3</v>
      </c>
      <c r="E4" s="4">
        <v>63</v>
      </c>
      <c r="F4" t="s">
        <v>6</v>
      </c>
      <c r="G4" s="5">
        <v>1</v>
      </c>
      <c r="I4" s="4">
        <v>123</v>
      </c>
      <c r="J4" t="s">
        <v>11</v>
      </c>
      <c r="K4" s="5">
        <v>28</v>
      </c>
      <c r="M4" s="4">
        <v>183</v>
      </c>
      <c r="N4" t="s">
        <v>13</v>
      </c>
      <c r="O4" s="5">
        <v>9</v>
      </c>
      <c r="R4" s="12" t="s">
        <v>19</v>
      </c>
      <c r="S4" s="13">
        <v>19</v>
      </c>
      <c r="T4" t="s">
        <v>39</v>
      </c>
      <c r="U4">
        <f>_xlfn.STDEV.S(S:S)</f>
        <v>18.455850591414951</v>
      </c>
      <c r="W4" t="s">
        <v>47</v>
      </c>
      <c r="X4">
        <f>1-_xlfn.NORM.S.DIST(X3, TRUE)</f>
        <v>0.79913218147230114</v>
      </c>
    </row>
    <row r="5" spans="1:24" ht="16.2" thickBot="1">
      <c r="A5" s="4">
        <v>4</v>
      </c>
      <c r="B5" t="s">
        <v>3</v>
      </c>
      <c r="C5" s="5">
        <v>4</v>
      </c>
      <c r="E5" s="4">
        <v>64</v>
      </c>
      <c r="F5" t="s">
        <v>7</v>
      </c>
      <c r="G5" s="5">
        <v>1</v>
      </c>
      <c r="I5" s="4">
        <v>124</v>
      </c>
      <c r="J5" t="s">
        <v>11</v>
      </c>
      <c r="K5" s="5">
        <v>29</v>
      </c>
      <c r="M5" s="4">
        <v>184</v>
      </c>
      <c r="N5" t="s">
        <v>13</v>
      </c>
      <c r="O5" s="5">
        <v>10</v>
      </c>
      <c r="R5" s="12" t="s">
        <v>20</v>
      </c>
      <c r="S5" s="13">
        <v>31</v>
      </c>
      <c r="T5" t="s">
        <v>40</v>
      </c>
      <c r="U5">
        <v>0.95</v>
      </c>
      <c r="W5" t="s">
        <v>49</v>
      </c>
    </row>
    <row r="6" spans="1:24" ht="16.2" thickBot="1">
      <c r="A6" s="4">
        <v>5</v>
      </c>
      <c r="B6" t="s">
        <v>3</v>
      </c>
      <c r="C6" s="5">
        <v>5</v>
      </c>
      <c r="E6" s="4">
        <v>65</v>
      </c>
      <c r="F6" t="s">
        <v>8</v>
      </c>
      <c r="G6" s="5">
        <v>1</v>
      </c>
      <c r="I6" s="4">
        <v>125</v>
      </c>
      <c r="J6" t="s">
        <v>11</v>
      </c>
      <c r="K6" s="5">
        <v>30</v>
      </c>
      <c r="M6" s="4">
        <v>185</v>
      </c>
      <c r="N6" t="s">
        <v>13</v>
      </c>
      <c r="O6" s="5">
        <v>11</v>
      </c>
      <c r="R6" s="12" t="s">
        <v>21</v>
      </c>
      <c r="S6" s="13">
        <v>85</v>
      </c>
      <c r="T6" t="s">
        <v>41</v>
      </c>
      <c r="U6">
        <f>_xlfn.T.INV.2T(1-U5, 19)</f>
        <v>2.0930240544083087</v>
      </c>
    </row>
    <row r="7" spans="1:24" ht="16.2" thickBot="1">
      <c r="A7" s="4">
        <v>6</v>
      </c>
      <c r="B7" t="s">
        <v>3</v>
      </c>
      <c r="C7" s="5">
        <v>6</v>
      </c>
      <c r="E7" s="4">
        <v>66</v>
      </c>
      <c r="F7" t="s">
        <v>9</v>
      </c>
      <c r="G7" s="5">
        <v>1</v>
      </c>
      <c r="I7" s="4">
        <v>126</v>
      </c>
      <c r="J7" t="s">
        <v>11</v>
      </c>
      <c r="K7" s="5">
        <v>31</v>
      </c>
      <c r="M7" s="4">
        <v>186</v>
      </c>
      <c r="N7" t="s">
        <v>13</v>
      </c>
      <c r="O7" s="5">
        <v>12</v>
      </c>
      <c r="R7" s="12" t="s">
        <v>22</v>
      </c>
      <c r="S7" s="13">
        <v>43</v>
      </c>
      <c r="T7" t="s">
        <v>42</v>
      </c>
      <c r="U7">
        <f>U6*U4/SQRT(20)</f>
        <v>8.6376039595157916</v>
      </c>
    </row>
    <row r="8" spans="1:24" ht="21" thickBot="1">
      <c r="A8" s="4">
        <v>7</v>
      </c>
      <c r="B8" t="s">
        <v>3</v>
      </c>
      <c r="C8" s="5">
        <v>7</v>
      </c>
      <c r="E8" s="4">
        <v>67</v>
      </c>
      <c r="F8" t="s">
        <v>10</v>
      </c>
      <c r="G8" s="5">
        <v>1</v>
      </c>
      <c r="I8" s="4">
        <v>127</v>
      </c>
      <c r="J8" t="s">
        <v>11</v>
      </c>
      <c r="K8" s="5">
        <v>32</v>
      </c>
      <c r="M8" s="4">
        <v>187</v>
      </c>
      <c r="N8" t="s">
        <v>13</v>
      </c>
      <c r="O8" s="5">
        <v>13</v>
      </c>
      <c r="R8" s="12" t="s">
        <v>23</v>
      </c>
      <c r="S8" s="13">
        <v>68</v>
      </c>
      <c r="T8" t="s">
        <v>43</v>
      </c>
      <c r="U8">
        <f>U3-U7</f>
        <v>24.112396040484207</v>
      </c>
    </row>
    <row r="9" spans="1:24" ht="21" thickBot="1">
      <c r="A9" s="4">
        <v>8</v>
      </c>
      <c r="B9" t="s">
        <v>3</v>
      </c>
      <c r="C9" s="5">
        <v>8</v>
      </c>
      <c r="E9" s="4">
        <v>68</v>
      </c>
      <c r="F9" t="s">
        <v>10</v>
      </c>
      <c r="G9" s="5">
        <v>2</v>
      </c>
      <c r="I9" s="4">
        <v>128</v>
      </c>
      <c r="J9" t="s">
        <v>11</v>
      </c>
      <c r="K9" s="5">
        <v>33</v>
      </c>
      <c r="M9" s="4">
        <v>188</v>
      </c>
      <c r="N9" t="s">
        <v>13</v>
      </c>
      <c r="O9" s="5">
        <v>14</v>
      </c>
      <c r="R9" s="12" t="s">
        <v>24</v>
      </c>
      <c r="S9" s="13">
        <v>12</v>
      </c>
      <c r="T9" t="s">
        <v>44</v>
      </c>
      <c r="U9">
        <f>U3+U7</f>
        <v>41.387603959515793</v>
      </c>
    </row>
    <row r="10" spans="1:24" ht="21" thickBot="1">
      <c r="A10" s="4">
        <v>9</v>
      </c>
      <c r="B10" t="s">
        <v>3</v>
      </c>
      <c r="C10" s="5">
        <v>9</v>
      </c>
      <c r="E10" s="4">
        <v>69</v>
      </c>
      <c r="F10" t="s">
        <v>10</v>
      </c>
      <c r="G10" s="5">
        <v>3</v>
      </c>
      <c r="I10" s="4">
        <v>129</v>
      </c>
      <c r="J10" t="s">
        <v>11</v>
      </c>
      <c r="K10" s="5">
        <v>34</v>
      </c>
      <c r="M10" s="4">
        <v>189</v>
      </c>
      <c r="N10" t="s">
        <v>13</v>
      </c>
      <c r="O10" s="5">
        <v>15</v>
      </c>
      <c r="R10" s="12" t="s">
        <v>25</v>
      </c>
      <c r="S10" s="13">
        <v>17</v>
      </c>
      <c r="T10" t="s">
        <v>46</v>
      </c>
      <c r="U10">
        <v>35</v>
      </c>
    </row>
    <row r="11" spans="1:24" ht="16.2" thickBot="1">
      <c r="A11" s="4">
        <v>10</v>
      </c>
      <c r="B11" t="s">
        <v>3</v>
      </c>
      <c r="C11" s="5">
        <v>10</v>
      </c>
      <c r="E11" s="4">
        <v>70</v>
      </c>
      <c r="F11" t="s">
        <v>10</v>
      </c>
      <c r="G11" s="5">
        <v>4</v>
      </c>
      <c r="I11" s="4">
        <v>130</v>
      </c>
      <c r="J11" t="s">
        <v>11</v>
      </c>
      <c r="K11" s="5">
        <v>35</v>
      </c>
      <c r="M11" s="4">
        <v>190</v>
      </c>
      <c r="N11" t="s">
        <v>13</v>
      </c>
      <c r="O11" s="5">
        <v>16</v>
      </c>
      <c r="R11" s="12" t="s">
        <v>26</v>
      </c>
      <c r="S11" s="13">
        <v>30</v>
      </c>
      <c r="T11" t="s">
        <v>48</v>
      </c>
      <c r="U11">
        <f>COUNT(S:S)</f>
        <v>20</v>
      </c>
    </row>
    <row r="12" spans="1:24" ht="16.2" thickBot="1">
      <c r="A12" s="4">
        <v>11</v>
      </c>
      <c r="B12" t="s">
        <v>3</v>
      </c>
      <c r="C12" s="5">
        <v>11</v>
      </c>
      <c r="E12" s="4">
        <v>71</v>
      </c>
      <c r="F12" t="s">
        <v>10</v>
      </c>
      <c r="G12" s="5">
        <v>5</v>
      </c>
      <c r="I12" s="4">
        <v>131</v>
      </c>
      <c r="J12" t="s">
        <v>11</v>
      </c>
      <c r="K12" s="5">
        <v>36</v>
      </c>
      <c r="M12" s="4">
        <v>191</v>
      </c>
      <c r="N12" t="s">
        <v>13</v>
      </c>
      <c r="O12" s="5">
        <v>17</v>
      </c>
      <c r="R12" s="12" t="s">
        <v>27</v>
      </c>
      <c r="S12" s="13">
        <v>35</v>
      </c>
    </row>
    <row r="13" spans="1:24" ht="21" thickBot="1">
      <c r="A13" s="4">
        <v>12</v>
      </c>
      <c r="B13" t="s">
        <v>3</v>
      </c>
      <c r="C13" s="5">
        <v>12</v>
      </c>
      <c r="E13" s="4">
        <v>72</v>
      </c>
      <c r="F13" t="s">
        <v>10</v>
      </c>
      <c r="G13" s="5">
        <v>6</v>
      </c>
      <c r="I13" s="4">
        <v>132</v>
      </c>
      <c r="J13" t="s">
        <v>11</v>
      </c>
      <c r="K13" s="5">
        <v>37</v>
      </c>
      <c r="M13" s="4">
        <v>192</v>
      </c>
      <c r="N13" t="s">
        <v>13</v>
      </c>
      <c r="O13" s="5">
        <v>18</v>
      </c>
      <c r="R13" s="12" t="s">
        <v>28</v>
      </c>
      <c r="S13" s="13">
        <v>22</v>
      </c>
    </row>
    <row r="14" spans="1:24" ht="16.2" thickBot="1">
      <c r="A14" s="4">
        <v>13</v>
      </c>
      <c r="B14" t="s">
        <v>3</v>
      </c>
      <c r="C14" s="5">
        <v>13</v>
      </c>
      <c r="E14" s="4">
        <v>73</v>
      </c>
      <c r="F14" t="s">
        <v>10</v>
      </c>
      <c r="G14" s="5">
        <v>7</v>
      </c>
      <c r="I14" s="4">
        <v>133</v>
      </c>
      <c r="J14" t="s">
        <v>11</v>
      </c>
      <c r="K14" s="5">
        <v>38</v>
      </c>
      <c r="M14" s="4">
        <v>193</v>
      </c>
      <c r="N14" t="s">
        <v>13</v>
      </c>
      <c r="O14" s="5">
        <v>19</v>
      </c>
      <c r="R14" s="12" t="s">
        <v>29</v>
      </c>
      <c r="S14" s="13">
        <v>21</v>
      </c>
    </row>
    <row r="15" spans="1:24" ht="16.2" thickBot="1">
      <c r="A15" s="4">
        <v>14</v>
      </c>
      <c r="B15" t="s">
        <v>3</v>
      </c>
      <c r="C15" s="5">
        <v>14</v>
      </c>
      <c r="E15" s="4">
        <v>74</v>
      </c>
      <c r="F15" t="s">
        <v>10</v>
      </c>
      <c r="G15" s="5">
        <v>8</v>
      </c>
      <c r="I15" s="4">
        <v>134</v>
      </c>
      <c r="J15" t="s">
        <v>11</v>
      </c>
      <c r="K15" s="5">
        <v>39</v>
      </c>
      <c r="M15" s="4">
        <v>194</v>
      </c>
      <c r="N15" t="s">
        <v>13</v>
      </c>
      <c r="O15" s="5">
        <v>20</v>
      </c>
      <c r="R15" s="12" t="s">
        <v>30</v>
      </c>
      <c r="S15" s="13">
        <v>44</v>
      </c>
    </row>
    <row r="16" spans="1:24" ht="21" thickBot="1">
      <c r="A16" s="4">
        <v>15</v>
      </c>
      <c r="B16" t="s">
        <v>3</v>
      </c>
      <c r="C16" s="5">
        <v>15</v>
      </c>
      <c r="E16" s="4">
        <v>75</v>
      </c>
      <c r="F16" t="s">
        <v>10</v>
      </c>
      <c r="G16" s="5">
        <v>9</v>
      </c>
      <c r="I16" s="4">
        <v>135</v>
      </c>
      <c r="J16" t="s">
        <v>11</v>
      </c>
      <c r="K16" s="5">
        <v>40</v>
      </c>
      <c r="M16" s="4">
        <v>195</v>
      </c>
      <c r="N16" t="s">
        <v>13</v>
      </c>
      <c r="O16" s="5">
        <v>21</v>
      </c>
      <c r="R16" s="12" t="s">
        <v>31</v>
      </c>
      <c r="S16" s="13">
        <v>13</v>
      </c>
    </row>
    <row r="17" spans="1:19" ht="21" thickBot="1">
      <c r="A17" s="4">
        <v>16</v>
      </c>
      <c r="B17" t="s">
        <v>3</v>
      </c>
      <c r="C17" s="5">
        <v>16</v>
      </c>
      <c r="E17" s="4">
        <v>76</v>
      </c>
      <c r="F17" t="s">
        <v>10</v>
      </c>
      <c r="G17" s="5">
        <v>10</v>
      </c>
      <c r="I17" s="4">
        <v>136</v>
      </c>
      <c r="J17" t="s">
        <v>11</v>
      </c>
      <c r="K17" s="5">
        <v>41</v>
      </c>
      <c r="M17" s="4">
        <v>196</v>
      </c>
      <c r="N17" t="s">
        <v>13</v>
      </c>
      <c r="O17" s="5">
        <v>22</v>
      </c>
      <c r="R17" s="12" t="s">
        <v>32</v>
      </c>
      <c r="S17" s="13">
        <v>23</v>
      </c>
    </row>
    <row r="18" spans="1:19" ht="21" thickBot="1">
      <c r="A18" s="4">
        <v>17</v>
      </c>
      <c r="B18" t="s">
        <v>3</v>
      </c>
      <c r="C18" s="5">
        <v>17</v>
      </c>
      <c r="E18" s="4">
        <v>77</v>
      </c>
      <c r="F18" t="s">
        <v>10</v>
      </c>
      <c r="G18" s="5">
        <v>11</v>
      </c>
      <c r="I18" s="4">
        <v>137</v>
      </c>
      <c r="J18" t="s">
        <v>11</v>
      </c>
      <c r="K18" s="5">
        <v>42</v>
      </c>
      <c r="M18" s="4">
        <v>197</v>
      </c>
      <c r="N18" t="s">
        <v>13</v>
      </c>
      <c r="O18" s="5">
        <v>23</v>
      </c>
      <c r="R18" s="12" t="s">
        <v>33</v>
      </c>
      <c r="S18" s="13">
        <v>41</v>
      </c>
    </row>
    <row r="19" spans="1:19" ht="21" thickBot="1">
      <c r="A19" s="4">
        <v>18</v>
      </c>
      <c r="B19" t="s">
        <v>3</v>
      </c>
      <c r="C19" s="5">
        <v>18</v>
      </c>
      <c r="E19" s="4">
        <v>78</v>
      </c>
      <c r="F19" t="s">
        <v>10</v>
      </c>
      <c r="G19" s="5">
        <v>12</v>
      </c>
      <c r="I19" s="4">
        <v>138</v>
      </c>
      <c r="J19" t="s">
        <v>11</v>
      </c>
      <c r="K19" s="5">
        <v>43</v>
      </c>
      <c r="M19" s="4">
        <v>198</v>
      </c>
      <c r="N19" t="s">
        <v>13</v>
      </c>
      <c r="O19" s="5">
        <v>24</v>
      </c>
      <c r="R19" s="12" t="s">
        <v>34</v>
      </c>
      <c r="S19" s="13">
        <v>34</v>
      </c>
    </row>
    <row r="20" spans="1:19" ht="21" thickBot="1">
      <c r="A20" s="4">
        <v>19</v>
      </c>
      <c r="B20" t="s">
        <v>3</v>
      </c>
      <c r="C20" s="5">
        <v>19</v>
      </c>
      <c r="E20" s="4">
        <v>79</v>
      </c>
      <c r="F20" t="s">
        <v>10</v>
      </c>
      <c r="G20" s="5">
        <v>13</v>
      </c>
      <c r="I20" s="4">
        <v>139</v>
      </c>
      <c r="J20" t="s">
        <v>11</v>
      </c>
      <c r="K20" s="5">
        <v>44</v>
      </c>
      <c r="M20" s="4">
        <v>199</v>
      </c>
      <c r="N20" t="s">
        <v>13</v>
      </c>
      <c r="O20" s="5">
        <v>25</v>
      </c>
      <c r="R20" s="12" t="s">
        <v>35</v>
      </c>
      <c r="S20" s="13">
        <v>46</v>
      </c>
    </row>
    <row r="21" spans="1:19" ht="21" thickBot="1">
      <c r="A21" s="4">
        <v>20</v>
      </c>
      <c r="B21" t="s">
        <v>3</v>
      </c>
      <c r="C21" s="5">
        <v>20</v>
      </c>
      <c r="E21" s="4">
        <v>80</v>
      </c>
      <c r="F21" t="s">
        <v>10</v>
      </c>
      <c r="G21" s="5">
        <v>14</v>
      </c>
      <c r="I21" s="4">
        <v>140</v>
      </c>
      <c r="J21" t="s">
        <v>11</v>
      </c>
      <c r="K21" s="5">
        <v>45</v>
      </c>
      <c r="M21" s="4">
        <v>200</v>
      </c>
      <c r="N21" t="s">
        <v>13</v>
      </c>
      <c r="O21" s="5">
        <v>26</v>
      </c>
      <c r="R21" s="12" t="s">
        <v>36</v>
      </c>
      <c r="S21" s="13">
        <v>14</v>
      </c>
    </row>
    <row r="22" spans="1:19" ht="16.2" thickBot="1">
      <c r="A22" s="4">
        <v>21</v>
      </c>
      <c r="B22" t="s">
        <v>3</v>
      </c>
      <c r="C22" s="5">
        <v>21</v>
      </c>
      <c r="E22" s="4">
        <v>81</v>
      </c>
      <c r="F22" t="s">
        <v>10</v>
      </c>
      <c r="G22" s="5">
        <v>15</v>
      </c>
      <c r="I22" s="4">
        <v>141</v>
      </c>
      <c r="J22" t="s">
        <v>11</v>
      </c>
      <c r="K22" s="5">
        <v>46</v>
      </c>
      <c r="M22" s="4">
        <v>201</v>
      </c>
      <c r="N22" t="s">
        <v>13</v>
      </c>
      <c r="O22" s="5">
        <v>27</v>
      </c>
      <c r="R22" s="12" t="s">
        <v>37</v>
      </c>
      <c r="S22" s="13">
        <v>31</v>
      </c>
    </row>
    <row r="23" spans="1:19">
      <c r="A23" s="4">
        <v>22</v>
      </c>
      <c r="B23" t="s">
        <v>3</v>
      </c>
      <c r="C23" s="5">
        <v>22</v>
      </c>
      <c r="E23" s="4">
        <v>82</v>
      </c>
      <c r="F23" t="s">
        <v>10</v>
      </c>
      <c r="G23" s="5">
        <v>16</v>
      </c>
      <c r="I23" s="4">
        <v>142</v>
      </c>
      <c r="J23" t="s">
        <v>11</v>
      </c>
      <c r="K23" s="5">
        <v>47</v>
      </c>
      <c r="M23" s="4">
        <v>202</v>
      </c>
      <c r="N23" t="s">
        <v>13</v>
      </c>
      <c r="O23" s="5">
        <v>28</v>
      </c>
    </row>
    <row r="24" spans="1:19">
      <c r="A24" s="4">
        <v>23</v>
      </c>
      <c r="B24" t="s">
        <v>4</v>
      </c>
      <c r="C24" s="5">
        <v>1</v>
      </c>
      <c r="E24" s="4">
        <v>83</v>
      </c>
      <c r="F24" t="s">
        <v>10</v>
      </c>
      <c r="G24" s="5">
        <v>17</v>
      </c>
      <c r="I24" s="4">
        <v>143</v>
      </c>
      <c r="J24" t="s">
        <v>11</v>
      </c>
      <c r="K24" s="5">
        <v>48</v>
      </c>
      <c r="M24" s="4">
        <v>203</v>
      </c>
      <c r="N24" t="s">
        <v>13</v>
      </c>
      <c r="O24" s="5">
        <v>29</v>
      </c>
    </row>
    <row r="25" spans="1:19">
      <c r="A25" s="4">
        <v>24</v>
      </c>
      <c r="B25" t="s">
        <v>4</v>
      </c>
      <c r="C25" s="5">
        <v>2</v>
      </c>
      <c r="E25" s="4">
        <v>84</v>
      </c>
      <c r="F25" t="s">
        <v>10</v>
      </c>
      <c r="G25" s="5">
        <v>18</v>
      </c>
      <c r="I25" s="4">
        <v>144</v>
      </c>
      <c r="J25" t="s">
        <v>11</v>
      </c>
      <c r="K25" s="5">
        <v>49</v>
      </c>
      <c r="M25" s="4">
        <v>204</v>
      </c>
      <c r="N25" t="s">
        <v>13</v>
      </c>
      <c r="O25" s="5">
        <v>30</v>
      </c>
    </row>
    <row r="26" spans="1:19">
      <c r="A26" s="4">
        <v>25</v>
      </c>
      <c r="B26" t="s">
        <v>4</v>
      </c>
      <c r="C26" s="5">
        <v>3</v>
      </c>
      <c r="E26" s="4">
        <v>85</v>
      </c>
      <c r="F26" t="s">
        <v>10</v>
      </c>
      <c r="G26" s="5">
        <v>19</v>
      </c>
      <c r="I26" s="4">
        <v>145</v>
      </c>
      <c r="J26" t="s">
        <v>11</v>
      </c>
      <c r="K26" s="5">
        <v>50</v>
      </c>
      <c r="M26" s="4">
        <v>205</v>
      </c>
      <c r="N26" t="s">
        <v>14</v>
      </c>
      <c r="O26" s="5">
        <v>1</v>
      </c>
    </row>
    <row r="27" spans="1:19">
      <c r="A27" s="4">
        <v>26</v>
      </c>
      <c r="B27" t="s">
        <v>4</v>
      </c>
      <c r="C27" s="5">
        <v>4</v>
      </c>
      <c r="E27" s="4">
        <v>86</v>
      </c>
      <c r="F27" t="s">
        <v>10</v>
      </c>
      <c r="G27" s="5">
        <v>20</v>
      </c>
      <c r="I27" s="4">
        <v>146</v>
      </c>
      <c r="J27" t="s">
        <v>11</v>
      </c>
      <c r="K27" s="5">
        <v>51</v>
      </c>
      <c r="M27" s="4">
        <v>206</v>
      </c>
      <c r="N27" t="s">
        <v>15</v>
      </c>
      <c r="O27" s="5">
        <v>1</v>
      </c>
    </row>
    <row r="28" spans="1:19">
      <c r="A28" s="4">
        <v>27</v>
      </c>
      <c r="B28" t="s">
        <v>4</v>
      </c>
      <c r="C28" s="5">
        <v>5</v>
      </c>
      <c r="E28" s="4">
        <v>87</v>
      </c>
      <c r="F28" t="s">
        <v>10</v>
      </c>
      <c r="G28" s="5">
        <v>21</v>
      </c>
      <c r="I28" s="4">
        <v>147</v>
      </c>
      <c r="J28" t="s">
        <v>11</v>
      </c>
      <c r="K28" s="5">
        <v>52</v>
      </c>
      <c r="M28" s="4">
        <v>207</v>
      </c>
      <c r="N28" t="s">
        <v>15</v>
      </c>
      <c r="O28" s="5">
        <v>2</v>
      </c>
    </row>
    <row r="29" spans="1:19">
      <c r="A29" s="4">
        <v>28</v>
      </c>
      <c r="B29" t="s">
        <v>4</v>
      </c>
      <c r="C29" s="5">
        <v>6</v>
      </c>
      <c r="E29" s="4">
        <v>88</v>
      </c>
      <c r="F29" t="s">
        <v>10</v>
      </c>
      <c r="G29" s="5">
        <v>22</v>
      </c>
      <c r="I29" s="4">
        <v>148</v>
      </c>
      <c r="J29" t="s">
        <v>11</v>
      </c>
      <c r="K29" s="5">
        <v>53</v>
      </c>
      <c r="M29" s="4">
        <v>208</v>
      </c>
      <c r="N29" t="s">
        <v>15</v>
      </c>
      <c r="O29" s="5">
        <v>3</v>
      </c>
    </row>
    <row r="30" spans="1:19">
      <c r="A30" s="4">
        <v>29</v>
      </c>
      <c r="B30" t="s">
        <v>4</v>
      </c>
      <c r="C30" s="5">
        <v>7</v>
      </c>
      <c r="E30" s="4">
        <v>89</v>
      </c>
      <c r="F30" t="s">
        <v>10</v>
      </c>
      <c r="G30" s="5">
        <v>23</v>
      </c>
      <c r="I30" s="4">
        <v>149</v>
      </c>
      <c r="J30" t="s">
        <v>11</v>
      </c>
      <c r="K30" s="5">
        <v>54</v>
      </c>
      <c r="M30" s="4">
        <v>209</v>
      </c>
      <c r="N30" t="s">
        <v>15</v>
      </c>
      <c r="O30" s="5">
        <v>4</v>
      </c>
    </row>
    <row r="31" spans="1:19">
      <c r="A31" s="4">
        <v>30</v>
      </c>
      <c r="B31" t="s">
        <v>4</v>
      </c>
      <c r="C31" s="5">
        <v>8</v>
      </c>
      <c r="E31" s="4">
        <v>90</v>
      </c>
      <c r="F31" t="s">
        <v>10</v>
      </c>
      <c r="G31" s="5">
        <v>24</v>
      </c>
      <c r="I31" s="4">
        <v>150</v>
      </c>
      <c r="J31" t="s">
        <v>11</v>
      </c>
      <c r="K31" s="5">
        <v>55</v>
      </c>
      <c r="M31" s="4">
        <v>210</v>
      </c>
      <c r="N31" t="s">
        <v>15</v>
      </c>
      <c r="O31" s="5">
        <v>5</v>
      </c>
    </row>
    <row r="32" spans="1:19">
      <c r="A32" s="4">
        <v>31</v>
      </c>
      <c r="B32" t="s">
        <v>4</v>
      </c>
      <c r="C32" s="5">
        <v>9</v>
      </c>
      <c r="E32" s="4">
        <v>91</v>
      </c>
      <c r="F32" t="s">
        <v>10</v>
      </c>
      <c r="G32" s="5">
        <v>25</v>
      </c>
      <c r="I32" s="4">
        <v>151</v>
      </c>
      <c r="J32" t="s">
        <v>11</v>
      </c>
      <c r="K32" s="5">
        <v>56</v>
      </c>
      <c r="M32" s="4">
        <v>211</v>
      </c>
      <c r="N32" t="s">
        <v>15</v>
      </c>
      <c r="O32" s="5">
        <v>6</v>
      </c>
    </row>
    <row r="33" spans="1:15">
      <c r="A33" s="4">
        <v>32</v>
      </c>
      <c r="B33" t="s">
        <v>4</v>
      </c>
      <c r="C33" s="5">
        <v>10</v>
      </c>
      <c r="E33" s="4">
        <v>92</v>
      </c>
      <c r="F33" t="s">
        <v>10</v>
      </c>
      <c r="G33" s="5">
        <v>26</v>
      </c>
      <c r="I33" s="4">
        <v>152</v>
      </c>
      <c r="J33" t="s">
        <v>11</v>
      </c>
      <c r="K33" s="5">
        <v>57</v>
      </c>
      <c r="M33" s="4">
        <v>212</v>
      </c>
      <c r="N33" t="s">
        <v>15</v>
      </c>
      <c r="O33" s="5">
        <v>7</v>
      </c>
    </row>
    <row r="34" spans="1:15">
      <c r="A34" s="4">
        <v>33</v>
      </c>
      <c r="B34" t="s">
        <v>4</v>
      </c>
      <c r="C34" s="5">
        <v>11</v>
      </c>
      <c r="E34" s="4">
        <v>93</v>
      </c>
      <c r="F34" t="s">
        <v>10</v>
      </c>
      <c r="G34" s="5">
        <v>27</v>
      </c>
      <c r="I34" s="4">
        <v>153</v>
      </c>
      <c r="J34" t="s">
        <v>11</v>
      </c>
      <c r="K34" s="5">
        <v>58</v>
      </c>
      <c r="M34" s="4">
        <v>213</v>
      </c>
      <c r="N34" t="s">
        <v>15</v>
      </c>
      <c r="O34" s="5">
        <v>8</v>
      </c>
    </row>
    <row r="35" spans="1:15">
      <c r="A35" s="4">
        <v>34</v>
      </c>
      <c r="B35" t="s">
        <v>4</v>
      </c>
      <c r="C35" s="5">
        <v>12</v>
      </c>
      <c r="E35" s="4">
        <v>94</v>
      </c>
      <c r="F35" t="s">
        <v>10</v>
      </c>
      <c r="G35" s="5">
        <v>28</v>
      </c>
      <c r="I35" s="4">
        <v>154</v>
      </c>
      <c r="J35" t="s">
        <v>11</v>
      </c>
      <c r="K35" s="5">
        <v>59</v>
      </c>
      <c r="M35" s="4">
        <v>214</v>
      </c>
      <c r="N35" t="s">
        <v>15</v>
      </c>
      <c r="O35" s="5">
        <v>9</v>
      </c>
    </row>
    <row r="36" spans="1:15">
      <c r="A36" s="4">
        <v>35</v>
      </c>
      <c r="B36" t="s">
        <v>4</v>
      </c>
      <c r="C36" s="5">
        <v>13</v>
      </c>
      <c r="E36" s="4">
        <v>95</v>
      </c>
      <c r="F36" t="s">
        <v>10</v>
      </c>
      <c r="G36" s="5">
        <v>29</v>
      </c>
      <c r="I36" s="4">
        <v>155</v>
      </c>
      <c r="J36" t="s">
        <v>11</v>
      </c>
      <c r="K36" s="5">
        <v>60</v>
      </c>
      <c r="M36" s="4">
        <v>215</v>
      </c>
      <c r="N36" t="s">
        <v>16</v>
      </c>
      <c r="O36" s="5">
        <v>1</v>
      </c>
    </row>
    <row r="37" spans="1:15">
      <c r="A37" s="4">
        <v>36</v>
      </c>
      <c r="B37" t="s">
        <v>4</v>
      </c>
      <c r="C37" s="5">
        <v>14</v>
      </c>
      <c r="E37" s="4">
        <v>96</v>
      </c>
      <c r="F37" t="s">
        <v>11</v>
      </c>
      <c r="G37" s="5">
        <v>1</v>
      </c>
      <c r="I37" s="4">
        <v>156</v>
      </c>
      <c r="J37" t="s">
        <v>11</v>
      </c>
      <c r="K37" s="5">
        <v>61</v>
      </c>
      <c r="M37" s="4">
        <v>216</v>
      </c>
      <c r="N37" t="s">
        <v>16</v>
      </c>
      <c r="O37" s="5">
        <v>2</v>
      </c>
    </row>
    <row r="38" spans="1:15">
      <c r="A38" s="4">
        <v>37</v>
      </c>
      <c r="B38" t="s">
        <v>4</v>
      </c>
      <c r="C38" s="5">
        <v>15</v>
      </c>
      <c r="E38" s="4">
        <v>97</v>
      </c>
      <c r="F38" t="s">
        <v>11</v>
      </c>
      <c r="G38" s="5">
        <v>2</v>
      </c>
      <c r="I38" s="4">
        <v>157</v>
      </c>
      <c r="J38" t="s">
        <v>11</v>
      </c>
      <c r="K38" s="5">
        <v>62</v>
      </c>
      <c r="M38" s="4">
        <v>217</v>
      </c>
      <c r="N38" t="s">
        <v>16</v>
      </c>
      <c r="O38" s="5">
        <v>3</v>
      </c>
    </row>
    <row r="39" spans="1:15">
      <c r="A39" s="4">
        <v>38</v>
      </c>
      <c r="B39" t="s">
        <v>4</v>
      </c>
      <c r="C39" s="5">
        <v>16</v>
      </c>
      <c r="E39" s="4">
        <v>98</v>
      </c>
      <c r="F39" t="s">
        <v>11</v>
      </c>
      <c r="G39" s="5">
        <v>3</v>
      </c>
      <c r="I39" s="4">
        <v>158</v>
      </c>
      <c r="J39" t="s">
        <v>11</v>
      </c>
      <c r="K39" s="5">
        <v>63</v>
      </c>
      <c r="M39" s="4">
        <v>218</v>
      </c>
      <c r="N39" t="s">
        <v>16</v>
      </c>
      <c r="O39" s="5">
        <v>4</v>
      </c>
    </row>
    <row r="40" spans="1:15">
      <c r="A40" s="4">
        <v>39</v>
      </c>
      <c r="B40" t="s">
        <v>4</v>
      </c>
      <c r="C40" s="5">
        <v>17</v>
      </c>
      <c r="E40" s="4">
        <v>99</v>
      </c>
      <c r="F40" t="s">
        <v>11</v>
      </c>
      <c r="G40" s="5">
        <v>4</v>
      </c>
      <c r="I40" s="4">
        <v>159</v>
      </c>
      <c r="J40" t="s">
        <v>12</v>
      </c>
      <c r="K40" s="5">
        <v>1</v>
      </c>
      <c r="M40" s="4">
        <v>219</v>
      </c>
      <c r="N40" t="s">
        <v>16</v>
      </c>
      <c r="O40" s="5">
        <v>5</v>
      </c>
    </row>
    <row r="41" spans="1:15">
      <c r="A41" s="4">
        <v>40</v>
      </c>
      <c r="B41" t="s">
        <v>4</v>
      </c>
      <c r="C41" s="5">
        <v>18</v>
      </c>
      <c r="E41" s="4">
        <v>100</v>
      </c>
      <c r="F41" t="s">
        <v>11</v>
      </c>
      <c r="G41" s="5">
        <v>5</v>
      </c>
      <c r="I41" s="4">
        <v>160</v>
      </c>
      <c r="J41" t="s">
        <v>12</v>
      </c>
      <c r="K41" s="5">
        <v>2</v>
      </c>
      <c r="M41" s="4">
        <v>220</v>
      </c>
      <c r="N41" t="s">
        <v>16</v>
      </c>
      <c r="O41" s="5">
        <v>6</v>
      </c>
    </row>
    <row r="42" spans="1:15">
      <c r="A42" s="4">
        <v>41</v>
      </c>
      <c r="B42" t="s">
        <v>4</v>
      </c>
      <c r="C42" s="5">
        <v>19</v>
      </c>
      <c r="E42" s="4">
        <v>101</v>
      </c>
      <c r="F42" t="s">
        <v>11</v>
      </c>
      <c r="G42" s="5">
        <v>6</v>
      </c>
      <c r="I42" s="4">
        <v>161</v>
      </c>
      <c r="J42" t="s">
        <v>12</v>
      </c>
      <c r="K42" s="5">
        <v>3</v>
      </c>
      <c r="M42" s="4">
        <v>221</v>
      </c>
      <c r="N42" t="s">
        <v>16</v>
      </c>
      <c r="O42" s="5">
        <v>7</v>
      </c>
    </row>
    <row r="43" spans="1:15">
      <c r="A43" s="4">
        <v>42</v>
      </c>
      <c r="B43" t="s">
        <v>4</v>
      </c>
      <c r="C43" s="5">
        <v>20</v>
      </c>
      <c r="E43" s="4">
        <v>102</v>
      </c>
      <c r="F43" t="s">
        <v>11</v>
      </c>
      <c r="G43" s="5">
        <v>7</v>
      </c>
      <c r="I43" s="4">
        <v>162</v>
      </c>
      <c r="J43" t="s">
        <v>12</v>
      </c>
      <c r="K43" s="5">
        <v>4</v>
      </c>
      <c r="M43" s="4">
        <v>222</v>
      </c>
      <c r="N43" t="s">
        <v>16</v>
      </c>
      <c r="O43" s="5">
        <v>8</v>
      </c>
    </row>
    <row r="44" spans="1:15">
      <c r="A44" s="4">
        <v>43</v>
      </c>
      <c r="B44" t="s">
        <v>4</v>
      </c>
      <c r="C44" s="5">
        <v>21</v>
      </c>
      <c r="E44" s="4">
        <v>103</v>
      </c>
      <c r="F44" t="s">
        <v>11</v>
      </c>
      <c r="G44" s="5">
        <v>8</v>
      </c>
      <c r="I44" s="4">
        <v>163</v>
      </c>
      <c r="J44" t="s">
        <v>12</v>
      </c>
      <c r="K44" s="5">
        <v>5</v>
      </c>
      <c r="M44" s="4">
        <v>223</v>
      </c>
      <c r="N44" t="s">
        <v>16</v>
      </c>
      <c r="O44" s="5">
        <v>9</v>
      </c>
    </row>
    <row r="45" spans="1:15">
      <c r="A45" s="4">
        <v>44</v>
      </c>
      <c r="B45" t="s">
        <v>4</v>
      </c>
      <c r="C45" s="5">
        <v>22</v>
      </c>
      <c r="E45" s="4">
        <v>104</v>
      </c>
      <c r="F45" t="s">
        <v>11</v>
      </c>
      <c r="G45" s="5">
        <v>9</v>
      </c>
      <c r="I45" s="4">
        <v>164</v>
      </c>
      <c r="J45" t="s">
        <v>12</v>
      </c>
      <c r="K45" s="5">
        <v>6</v>
      </c>
      <c r="M45" s="4">
        <v>224</v>
      </c>
      <c r="N45" t="s">
        <v>16</v>
      </c>
      <c r="O45" s="5">
        <v>10</v>
      </c>
    </row>
    <row r="46" spans="1:15">
      <c r="A46" s="4">
        <v>45</v>
      </c>
      <c r="B46" t="s">
        <v>4</v>
      </c>
      <c r="C46" s="5">
        <v>23</v>
      </c>
      <c r="E46" s="4">
        <v>105</v>
      </c>
      <c r="F46" t="s">
        <v>11</v>
      </c>
      <c r="G46" s="5">
        <v>10</v>
      </c>
      <c r="I46" s="4">
        <v>165</v>
      </c>
      <c r="J46" t="s">
        <v>12</v>
      </c>
      <c r="K46" s="5">
        <v>7</v>
      </c>
      <c r="M46" s="4">
        <v>225</v>
      </c>
      <c r="N46" t="s">
        <v>16</v>
      </c>
      <c r="O46" s="5">
        <v>11</v>
      </c>
    </row>
    <row r="47" spans="1:15">
      <c r="A47" s="4">
        <v>46</v>
      </c>
      <c r="B47" t="s">
        <v>4</v>
      </c>
      <c r="C47" s="5">
        <v>24</v>
      </c>
      <c r="E47" s="4">
        <v>106</v>
      </c>
      <c r="F47" t="s">
        <v>11</v>
      </c>
      <c r="G47" s="5">
        <v>11</v>
      </c>
      <c r="I47" s="4">
        <v>166</v>
      </c>
      <c r="J47" t="s">
        <v>12</v>
      </c>
      <c r="K47" s="5">
        <v>8</v>
      </c>
      <c r="M47" s="4">
        <v>226</v>
      </c>
      <c r="N47" t="s">
        <v>16</v>
      </c>
      <c r="O47" s="5">
        <v>12</v>
      </c>
    </row>
    <row r="48" spans="1:15">
      <c r="A48" s="4">
        <v>47</v>
      </c>
      <c r="B48" t="s">
        <v>4</v>
      </c>
      <c r="C48" s="5">
        <v>25</v>
      </c>
      <c r="E48" s="4">
        <v>107</v>
      </c>
      <c r="F48" t="s">
        <v>11</v>
      </c>
      <c r="G48" s="5">
        <v>12</v>
      </c>
      <c r="I48" s="4">
        <v>167</v>
      </c>
      <c r="J48" t="s">
        <v>12</v>
      </c>
      <c r="K48" s="5">
        <v>9</v>
      </c>
      <c r="M48" s="4">
        <v>227</v>
      </c>
      <c r="N48" t="s">
        <v>16</v>
      </c>
      <c r="O48" s="5">
        <v>13</v>
      </c>
    </row>
    <row r="49" spans="1:15">
      <c r="A49" s="4">
        <v>48</v>
      </c>
      <c r="B49" t="s">
        <v>4</v>
      </c>
      <c r="C49" s="5">
        <v>26</v>
      </c>
      <c r="E49" s="4">
        <v>108</v>
      </c>
      <c r="F49" t="s">
        <v>11</v>
      </c>
      <c r="G49" s="5">
        <v>13</v>
      </c>
      <c r="I49" s="4">
        <v>168</v>
      </c>
      <c r="J49" t="s">
        <v>12</v>
      </c>
      <c r="K49" s="5">
        <v>10</v>
      </c>
      <c r="M49" s="4">
        <v>228</v>
      </c>
      <c r="N49" t="s">
        <v>16</v>
      </c>
      <c r="O49" s="5">
        <v>14</v>
      </c>
    </row>
    <row r="50" spans="1:15">
      <c r="A50" s="4">
        <v>49</v>
      </c>
      <c r="B50" t="s">
        <v>4</v>
      </c>
      <c r="C50" s="5">
        <v>27</v>
      </c>
      <c r="E50" s="4">
        <v>109</v>
      </c>
      <c r="F50" t="s">
        <v>11</v>
      </c>
      <c r="G50" s="5">
        <v>14</v>
      </c>
      <c r="I50" s="4">
        <v>169</v>
      </c>
      <c r="J50" t="s">
        <v>12</v>
      </c>
      <c r="K50" s="5">
        <v>11</v>
      </c>
      <c r="M50" s="4">
        <v>229</v>
      </c>
      <c r="N50" t="s">
        <v>16</v>
      </c>
      <c r="O50" s="5">
        <v>15</v>
      </c>
    </row>
    <row r="51" spans="1:15">
      <c r="A51" s="4">
        <v>50</v>
      </c>
      <c r="B51" t="s">
        <v>4</v>
      </c>
      <c r="C51" s="5">
        <v>28</v>
      </c>
      <c r="E51" s="4">
        <v>110</v>
      </c>
      <c r="F51" t="s">
        <v>11</v>
      </c>
      <c r="G51" s="5">
        <v>15</v>
      </c>
      <c r="I51" s="4">
        <v>170</v>
      </c>
      <c r="J51" t="s">
        <v>12</v>
      </c>
      <c r="K51" s="5">
        <v>12</v>
      </c>
      <c r="M51" s="4">
        <v>230</v>
      </c>
      <c r="N51" t="s">
        <v>17</v>
      </c>
      <c r="O51" s="5">
        <v>1</v>
      </c>
    </row>
    <row r="52" spans="1:15">
      <c r="A52" s="4">
        <v>51</v>
      </c>
      <c r="B52" t="s">
        <v>4</v>
      </c>
      <c r="C52" s="5">
        <v>29</v>
      </c>
      <c r="E52" s="4">
        <v>111</v>
      </c>
      <c r="F52" t="s">
        <v>11</v>
      </c>
      <c r="G52" s="5">
        <v>16</v>
      </c>
      <c r="I52" s="4">
        <v>171</v>
      </c>
      <c r="J52" t="s">
        <v>12</v>
      </c>
      <c r="K52" s="5">
        <v>13</v>
      </c>
      <c r="M52" s="4">
        <v>231</v>
      </c>
      <c r="N52" t="s">
        <v>17</v>
      </c>
      <c r="O52" s="5">
        <v>2</v>
      </c>
    </row>
    <row r="53" spans="1:15">
      <c r="A53" s="4">
        <v>52</v>
      </c>
      <c r="B53" t="s">
        <v>4</v>
      </c>
      <c r="C53" s="5">
        <v>30</v>
      </c>
      <c r="E53" s="4">
        <v>112</v>
      </c>
      <c r="F53" t="s">
        <v>11</v>
      </c>
      <c r="G53" s="5">
        <v>17</v>
      </c>
      <c r="I53" s="4">
        <v>172</v>
      </c>
      <c r="J53" t="s">
        <v>12</v>
      </c>
      <c r="K53" s="5">
        <v>14</v>
      </c>
      <c r="M53" s="4">
        <v>232</v>
      </c>
      <c r="N53" t="s">
        <v>17</v>
      </c>
      <c r="O53" s="5">
        <v>3</v>
      </c>
    </row>
    <row r="54" spans="1:15">
      <c r="A54" s="4">
        <v>53</v>
      </c>
      <c r="B54" t="s">
        <v>4</v>
      </c>
      <c r="C54" s="5">
        <v>31</v>
      </c>
      <c r="E54" s="4">
        <v>113</v>
      </c>
      <c r="F54" t="s">
        <v>11</v>
      </c>
      <c r="G54" s="5">
        <v>18</v>
      </c>
      <c r="I54" s="4">
        <v>173</v>
      </c>
      <c r="J54" t="s">
        <v>12</v>
      </c>
      <c r="K54" s="5">
        <v>15</v>
      </c>
      <c r="M54" s="4">
        <v>233</v>
      </c>
      <c r="N54" t="s">
        <v>17</v>
      </c>
      <c r="O54" s="5">
        <v>4</v>
      </c>
    </row>
    <row r="55" spans="1:15">
      <c r="A55" s="4">
        <v>54</v>
      </c>
      <c r="B55" t="s">
        <v>4</v>
      </c>
      <c r="C55" s="5">
        <v>32</v>
      </c>
      <c r="E55" s="4">
        <v>114</v>
      </c>
      <c r="F55" t="s">
        <v>11</v>
      </c>
      <c r="G55" s="5">
        <v>19</v>
      </c>
      <c r="I55" s="4">
        <v>174</v>
      </c>
      <c r="J55" t="s">
        <v>12</v>
      </c>
      <c r="K55" s="5">
        <v>16</v>
      </c>
      <c r="M55" s="4">
        <v>234</v>
      </c>
      <c r="N55" t="s">
        <v>17</v>
      </c>
      <c r="O55" s="5">
        <v>5</v>
      </c>
    </row>
    <row r="56" spans="1:15">
      <c r="A56" s="4">
        <v>55</v>
      </c>
      <c r="B56" t="s">
        <v>4</v>
      </c>
      <c r="C56" s="5">
        <v>33</v>
      </c>
      <c r="E56" s="4">
        <v>115</v>
      </c>
      <c r="F56" t="s">
        <v>11</v>
      </c>
      <c r="G56" s="5">
        <v>20</v>
      </c>
      <c r="I56" s="4">
        <v>175</v>
      </c>
      <c r="J56" t="s">
        <v>13</v>
      </c>
      <c r="K56" s="5">
        <v>1</v>
      </c>
      <c r="M56" s="4">
        <v>235</v>
      </c>
      <c r="N56" t="s">
        <v>17</v>
      </c>
      <c r="O56" s="5">
        <v>6</v>
      </c>
    </row>
    <row r="57" spans="1:15">
      <c r="A57" s="4">
        <v>56</v>
      </c>
      <c r="B57" t="s">
        <v>5</v>
      </c>
      <c r="C57" s="5">
        <v>1</v>
      </c>
      <c r="E57" s="4">
        <v>116</v>
      </c>
      <c r="F57" t="s">
        <v>11</v>
      </c>
      <c r="G57" s="5">
        <v>21</v>
      </c>
      <c r="I57" s="4">
        <v>176</v>
      </c>
      <c r="J57" t="s">
        <v>13</v>
      </c>
      <c r="K57" s="5">
        <v>2</v>
      </c>
      <c r="M57" s="4">
        <v>236</v>
      </c>
      <c r="N57" t="s">
        <v>17</v>
      </c>
      <c r="O57" s="5">
        <v>7</v>
      </c>
    </row>
    <row r="58" spans="1:15">
      <c r="A58" s="4">
        <v>57</v>
      </c>
      <c r="B58" t="s">
        <v>5</v>
      </c>
      <c r="C58" s="5">
        <v>2</v>
      </c>
      <c r="E58" s="4">
        <v>117</v>
      </c>
      <c r="F58" t="s">
        <v>11</v>
      </c>
      <c r="G58" s="5">
        <v>22</v>
      </c>
      <c r="I58" s="4">
        <v>177</v>
      </c>
      <c r="J58" t="s">
        <v>13</v>
      </c>
      <c r="K58" s="5">
        <v>3</v>
      </c>
      <c r="M58" s="4">
        <v>237</v>
      </c>
      <c r="N58" t="s">
        <v>17</v>
      </c>
      <c r="O58" s="5">
        <v>8</v>
      </c>
    </row>
    <row r="59" spans="1:15">
      <c r="A59" s="4">
        <v>58</v>
      </c>
      <c r="B59" t="s">
        <v>5</v>
      </c>
      <c r="C59" s="5">
        <v>3</v>
      </c>
      <c r="E59" s="4">
        <v>118</v>
      </c>
      <c r="F59" t="s">
        <v>11</v>
      </c>
      <c r="G59" s="5">
        <v>23</v>
      </c>
      <c r="I59" s="4">
        <v>178</v>
      </c>
      <c r="J59" t="s">
        <v>13</v>
      </c>
      <c r="K59" s="5">
        <v>4</v>
      </c>
      <c r="M59" s="4">
        <v>238</v>
      </c>
      <c r="N59" t="s">
        <v>17</v>
      </c>
      <c r="O59" s="5">
        <v>9</v>
      </c>
    </row>
    <row r="60" spans="1:15">
      <c r="A60" s="4">
        <v>59</v>
      </c>
      <c r="B60" t="s">
        <v>5</v>
      </c>
      <c r="C60" s="5">
        <v>4</v>
      </c>
      <c r="E60" s="4">
        <v>119</v>
      </c>
      <c r="F60" t="s">
        <v>11</v>
      </c>
      <c r="G60" s="5">
        <v>24</v>
      </c>
      <c r="I60" s="4">
        <v>179</v>
      </c>
      <c r="J60" t="s">
        <v>13</v>
      </c>
      <c r="K60" s="5">
        <v>5</v>
      </c>
      <c r="M60" s="4">
        <v>239</v>
      </c>
      <c r="N60" t="s">
        <v>17</v>
      </c>
      <c r="O60" s="5">
        <v>10</v>
      </c>
    </row>
    <row r="61" spans="1:15">
      <c r="A61" s="6">
        <v>60</v>
      </c>
      <c r="B61" s="7" t="s">
        <v>5</v>
      </c>
      <c r="C61" s="8">
        <v>5</v>
      </c>
      <c r="E61" s="6">
        <v>120</v>
      </c>
      <c r="F61" s="7" t="s">
        <v>11</v>
      </c>
      <c r="G61" s="8">
        <v>25</v>
      </c>
      <c r="I61" s="6">
        <v>180</v>
      </c>
      <c r="J61" s="7" t="s">
        <v>13</v>
      </c>
      <c r="K61" s="8">
        <v>6</v>
      </c>
      <c r="M61" s="6"/>
      <c r="N61" s="7"/>
      <c r="O61" s="8"/>
    </row>
  </sheetData>
  <pageMargins left="0.7" right="0.7" top="0.75" bottom="0.75" header="0.3" footer="0.3"/>
  <pageSetup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Ward, Brady</dc:creator>
  <cp:lastModifiedBy>Seth Ricks</cp:lastModifiedBy>
  <cp:lastPrinted>2025-10-22T17:51:25Z</cp:lastPrinted>
  <dcterms:created xsi:type="dcterms:W3CDTF">2025-02-12T15:23:52Z</dcterms:created>
  <dcterms:modified xsi:type="dcterms:W3CDTF">2026-02-23T18:07:04Z</dcterms:modified>
</cp:coreProperties>
</file>