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cd5bde1dcad44f/Desktop/MATH330/Unit 2 HW/L11 HW/"/>
    </mc:Choice>
  </mc:AlternateContent>
  <xr:revisionPtr revIDLastSave="0" documentId="8_{66AE9790-6F96-4BFC-B9A2-79966FBE6C61}" xr6:coauthVersionLast="47" xr6:coauthVersionMax="47" xr10:uidLastSave="{00000000-0000-0000-0000-000000000000}"/>
  <bookViews>
    <workbookView xWindow="-108" yWindow="-108" windowWidth="23256" windowHeight="12456" xr2:uid="{506D19B9-B830-4E2F-8F54-BB277080D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4" i="1"/>
  <c r="J3" i="1"/>
  <c r="G9" i="1"/>
  <c r="D8" i="1"/>
  <c r="D9" i="1"/>
  <c r="D7" i="1"/>
  <c r="D6" i="1"/>
  <c r="D5" i="1"/>
  <c r="D4" i="1"/>
  <c r="D2" i="1"/>
</calcChain>
</file>

<file path=xl/sharedStrings.xml><?xml version="1.0" encoding="utf-8"?>
<sst xmlns="http://schemas.openxmlformats.org/spreadsheetml/2006/main" count="22" uniqueCount="18">
  <si>
    <t>sample</t>
  </si>
  <si>
    <t>n (count)</t>
  </si>
  <si>
    <t>Confidence Level</t>
  </si>
  <si>
    <t>t*</t>
  </si>
  <si>
    <t>m (margin)</t>
  </si>
  <si>
    <t>s (sample st.dev.)</t>
  </si>
  <si>
    <t>x_bar (sample average)</t>
  </si>
  <si>
    <t>UB (upper bound)</t>
  </si>
  <si>
    <t>LB (lower bound)</t>
  </si>
  <si>
    <t>H_0: (null hypothesis)</t>
  </si>
  <si>
    <t>H_1: (alternative hypothesis)</t>
  </si>
  <si>
    <t xml:space="preserve">µ </t>
  </si>
  <si>
    <t>µ =</t>
  </si>
  <si>
    <t>t (test statistic)</t>
  </si>
  <si>
    <t>≠ (2T)</t>
  </si>
  <si>
    <t>&gt; (RT)</t>
  </si>
  <si>
    <t>&lt; (LT)</t>
  </si>
  <si>
    <t>pval: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</si>
</sst>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9" fontId="0" fillId="2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1B0F-25D0-4EBC-B62A-F0563B4CB640}">
  <dimension ref="A1:J31"/>
  <sheetViews>
    <sheetView tabSelected="1" workbookViewId="0">
      <selection activeCell="J4" sqref="J4"/>
    </sheetView>
  </sheetViews>
  <sheetFormatPr defaultRowHeight="14.4" x14ac:dyDescent="0.3"/>
  <cols>
    <col min="1" max="1" width="11.6640625" customWidth="1"/>
    <col min="3" max="3" width="22.21875" customWidth="1"/>
    <col min="4" max="4" width="8.88671875" customWidth="1"/>
    <col min="6" max="6" width="25.88671875" customWidth="1"/>
    <col min="7" max="7" width="9.21875" customWidth="1"/>
  </cols>
  <sheetData>
    <row r="1" spans="1:10" x14ac:dyDescent="0.3">
      <c r="A1" t="s">
        <v>0</v>
      </c>
    </row>
    <row r="2" spans="1:10" x14ac:dyDescent="0.3">
      <c r="A2">
        <v>17362</v>
      </c>
      <c r="C2" t="s">
        <v>1</v>
      </c>
      <c r="D2">
        <f>COUNT(A:A)</f>
        <v>30</v>
      </c>
      <c r="F2" s="3" t="s">
        <v>9</v>
      </c>
      <c r="G2" s="3" t="s">
        <v>12</v>
      </c>
      <c r="H2" s="1">
        <v>25000</v>
      </c>
    </row>
    <row r="3" spans="1:10" x14ac:dyDescent="0.3">
      <c r="A3">
        <v>17500</v>
      </c>
      <c r="C3" t="s">
        <v>2</v>
      </c>
      <c r="D3" s="2">
        <v>0.95</v>
      </c>
      <c r="F3" t="s">
        <v>10</v>
      </c>
      <c r="G3" s="3" t="s">
        <v>11</v>
      </c>
      <c r="H3" s="3" t="s">
        <v>14</v>
      </c>
      <c r="I3" s="3" t="s">
        <v>17</v>
      </c>
      <c r="J3">
        <f>_xlfn.T.DIST.2T(G9,D2-1)</f>
        <v>2.3487229639873174E-2</v>
      </c>
    </row>
    <row r="4" spans="1:10" x14ac:dyDescent="0.3">
      <c r="A4">
        <v>34245</v>
      </c>
      <c r="C4" t="s">
        <v>3</v>
      </c>
      <c r="D4">
        <f>_xlfn.T.INV.2T(1-D3,D2-1)</f>
        <v>2.0452296421327034</v>
      </c>
      <c r="G4" s="3" t="s">
        <v>11</v>
      </c>
      <c r="H4" s="3" t="s">
        <v>15</v>
      </c>
      <c r="I4" s="3" t="s">
        <v>17</v>
      </c>
      <c r="J4">
        <f>_xlfn.T.DIST.RT(G9,D2-1)</f>
        <v>1.1743614819936587E-2</v>
      </c>
    </row>
    <row r="5" spans="1:10" x14ac:dyDescent="0.3">
      <c r="A5">
        <v>30000</v>
      </c>
      <c r="C5" t="s">
        <v>6</v>
      </c>
      <c r="D5">
        <f>AVERAGE(A:A)</f>
        <v>36282.366666666669</v>
      </c>
      <c r="G5" s="3" t="s">
        <v>11</v>
      </c>
      <c r="H5" s="3" t="s">
        <v>16</v>
      </c>
      <c r="I5" s="3" t="s">
        <v>17</v>
      </c>
      <c r="J5">
        <f>_xlfn.T.DIST(G9,D2-1,TRUE)</f>
        <v>0.98825638518006342</v>
      </c>
    </row>
    <row r="6" spans="1:10" x14ac:dyDescent="0.3">
      <c r="A6">
        <v>35546</v>
      </c>
      <c r="C6" t="s">
        <v>5</v>
      </c>
      <c r="D6">
        <f>_xlfn.STDEV.S(A:A)</f>
        <v>25839.896544155195</v>
      </c>
      <c r="H6" s="3"/>
    </row>
    <row r="7" spans="1:10" x14ac:dyDescent="0.3">
      <c r="A7">
        <v>30659</v>
      </c>
      <c r="C7" t="s">
        <v>4</v>
      </c>
      <c r="D7">
        <f>D4*D6/SQRT(D2)</f>
        <v>9648.775942781971</v>
      </c>
    </row>
    <row r="8" spans="1:10" x14ac:dyDescent="0.3">
      <c r="A8">
        <v>9950</v>
      </c>
      <c r="C8" t="s">
        <v>8</v>
      </c>
      <c r="D8">
        <f>D5-D7</f>
        <v>26633.590723884699</v>
      </c>
      <c r="H8" s="3"/>
    </row>
    <row r="9" spans="1:10" x14ac:dyDescent="0.3">
      <c r="A9">
        <v>9900</v>
      </c>
      <c r="C9" t="s">
        <v>7</v>
      </c>
      <c r="D9">
        <f>D5+D7</f>
        <v>45931.142609448638</v>
      </c>
      <c r="F9" t="s">
        <v>13</v>
      </c>
      <c r="G9">
        <f>(D5-H2)/(D6/SQRT(D2))</f>
        <v>2.3914982456752476</v>
      </c>
    </row>
    <row r="10" spans="1:10" x14ac:dyDescent="0.3">
      <c r="A10">
        <v>8772</v>
      </c>
    </row>
    <row r="11" spans="1:10" x14ac:dyDescent="0.3">
      <c r="A11">
        <v>25000</v>
      </c>
    </row>
    <row r="12" spans="1:10" x14ac:dyDescent="0.3">
      <c r="A12">
        <v>34369</v>
      </c>
    </row>
    <row r="13" spans="1:10" x14ac:dyDescent="0.3">
      <c r="A13">
        <v>58300</v>
      </c>
    </row>
    <row r="14" spans="1:10" x14ac:dyDescent="0.3">
      <c r="A14">
        <v>45000</v>
      </c>
    </row>
    <row r="15" spans="1:10" x14ac:dyDescent="0.3">
      <c r="A15">
        <v>51921</v>
      </c>
    </row>
    <row r="16" spans="1:10" x14ac:dyDescent="0.3">
      <c r="A16">
        <v>12000</v>
      </c>
    </row>
    <row r="17" spans="1:1" x14ac:dyDescent="0.3">
      <c r="A17">
        <v>22184</v>
      </c>
    </row>
    <row r="18" spans="1:1" x14ac:dyDescent="0.3">
      <c r="A18">
        <v>45000</v>
      </c>
    </row>
    <row r="19" spans="1:1" x14ac:dyDescent="0.3">
      <c r="A19">
        <v>20630</v>
      </c>
    </row>
    <row r="20" spans="1:1" x14ac:dyDescent="0.3">
      <c r="A20">
        <v>27897</v>
      </c>
    </row>
    <row r="21" spans="1:1" x14ac:dyDescent="0.3">
      <c r="A21">
        <v>17000</v>
      </c>
    </row>
    <row r="22" spans="1:1" x14ac:dyDescent="0.3">
      <c r="A22">
        <v>80157</v>
      </c>
    </row>
    <row r="23" spans="1:1" x14ac:dyDescent="0.3">
      <c r="A23">
        <v>96630</v>
      </c>
    </row>
    <row r="24" spans="1:1" x14ac:dyDescent="0.3">
      <c r="A24">
        <v>32240</v>
      </c>
    </row>
    <row r="25" spans="1:1" x14ac:dyDescent="0.3">
      <c r="A25">
        <v>35865</v>
      </c>
    </row>
    <row r="26" spans="1:1" x14ac:dyDescent="0.3">
      <c r="A26">
        <v>27500</v>
      </c>
    </row>
    <row r="27" spans="1:1" x14ac:dyDescent="0.3">
      <c r="A27">
        <v>37200</v>
      </c>
    </row>
    <row r="28" spans="1:1" x14ac:dyDescent="0.3">
      <c r="A28">
        <v>96277</v>
      </c>
    </row>
    <row r="29" spans="1:1" x14ac:dyDescent="0.3">
      <c r="A29">
        <v>10700</v>
      </c>
    </row>
    <row r="30" spans="1:1" x14ac:dyDescent="0.3">
      <c r="A30">
        <v>20831</v>
      </c>
    </row>
    <row r="31" spans="1:1" x14ac:dyDescent="0.3">
      <c r="A31">
        <v>97836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Ricks</dc:creator>
  <cp:lastModifiedBy>Seth Ricks</cp:lastModifiedBy>
  <dcterms:created xsi:type="dcterms:W3CDTF">2026-02-23T20:22:25Z</dcterms:created>
  <dcterms:modified xsi:type="dcterms:W3CDTF">2026-02-23T20:44:16Z</dcterms:modified>
</cp:coreProperties>
</file>