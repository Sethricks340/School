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thr\Downloads\"/>
    </mc:Choice>
  </mc:AlternateContent>
  <xr:revisionPtr revIDLastSave="0" documentId="13_ncr:1_{0C9BD358-2669-428B-89B3-83567C1C6B78}" xr6:coauthVersionLast="47" xr6:coauthVersionMax="47" xr10:uidLastSave="{00000000-0000-0000-0000-000000000000}"/>
  <bookViews>
    <workbookView xWindow="-108" yWindow="-108" windowWidth="23256" windowHeight="12456" xr2:uid="{B66FB39C-6569-47AB-8743-2C40AB2069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27" i="1" l="1"/>
  <c r="N26" i="1"/>
  <c r="K25" i="1"/>
  <c r="N23" i="1"/>
  <c r="N20" i="1"/>
</calcChain>
</file>

<file path=xl/sharedStrings.xml><?xml version="1.0" encoding="utf-8"?>
<sst xmlns="http://schemas.openxmlformats.org/spreadsheetml/2006/main" count="26" uniqueCount="23">
  <si>
    <t>Nail Type</t>
  </si>
  <si>
    <t>Annulary threaded</t>
  </si>
  <si>
    <t>Helically threaded</t>
  </si>
  <si>
    <t>Smooth shank</t>
  </si>
  <si>
    <t>Source: "Withdrawal Strength of Threaded Nails", D. Rammer, S. Winistorfer, and D. Bender, Journal of Structural Engineering, 2001: 442-449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</si>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</sst>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1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88D8B-F6C9-44FC-8359-1BA3931FCA46}">
  <dimension ref="A1:N27"/>
  <sheetViews>
    <sheetView tabSelected="1" topLeftCell="A5" workbookViewId="0">
      <selection activeCell="N28" sqref="N28"/>
    </sheetView>
  </sheetViews>
  <sheetFormatPr defaultRowHeight="14.4" x14ac:dyDescent="0.3"/>
  <cols>
    <col min="1" max="1" width="16.5546875" style="1" bestFit="1" customWidth="1"/>
    <col min="2" max="2" width="15.77734375" style="1" bestFit="1" customWidth="1"/>
    <col min="3" max="3" width="12.6640625" style="1" bestFit="1" customWidth="1"/>
    <col min="14" max="14" width="11" bestFit="1" customWidth="1"/>
  </cols>
  <sheetData>
    <row r="1" spans="1:10" x14ac:dyDescent="0.3">
      <c r="A1" s="3" t="s">
        <v>0</v>
      </c>
      <c r="B1" s="3"/>
      <c r="C1" s="3"/>
      <c r="F1" t="s">
        <v>4</v>
      </c>
    </row>
    <row r="2" spans="1:10" x14ac:dyDescent="0.3">
      <c r="A2" s="2" t="s">
        <v>1</v>
      </c>
      <c r="B2" s="2" t="s">
        <v>2</v>
      </c>
      <c r="C2" s="2" t="s">
        <v>3</v>
      </c>
    </row>
    <row r="3" spans="1:10" x14ac:dyDescent="0.3">
      <c r="A3" s="2">
        <v>36.57</v>
      </c>
      <c r="B3" s="2">
        <v>14.66</v>
      </c>
      <c r="C3" s="2">
        <v>12.61</v>
      </c>
    </row>
    <row r="4" spans="1:10" x14ac:dyDescent="0.3">
      <c r="A4" s="2">
        <v>29.67</v>
      </c>
      <c r="B4" s="2">
        <v>24.22</v>
      </c>
      <c r="C4" s="2">
        <v>25.71</v>
      </c>
    </row>
    <row r="5" spans="1:10" x14ac:dyDescent="0.3">
      <c r="A5" s="2">
        <v>43.38</v>
      </c>
      <c r="B5" s="2">
        <v>23.83</v>
      </c>
      <c r="C5" s="2">
        <v>17.690000000000001</v>
      </c>
    </row>
    <row r="6" spans="1:10" x14ac:dyDescent="0.3">
      <c r="A6" s="2">
        <v>26.94</v>
      </c>
      <c r="B6" s="2">
        <v>21.8</v>
      </c>
      <c r="C6" s="2">
        <v>24.69</v>
      </c>
    </row>
    <row r="7" spans="1:10" x14ac:dyDescent="0.3">
      <c r="A7" s="2">
        <v>12.03</v>
      </c>
      <c r="B7" s="2">
        <v>27.22</v>
      </c>
      <c r="C7" s="2">
        <v>26.48</v>
      </c>
    </row>
    <row r="8" spans="1:10" x14ac:dyDescent="0.3">
      <c r="A8" s="2">
        <v>21.66</v>
      </c>
      <c r="B8" s="2">
        <v>38.25</v>
      </c>
      <c r="C8" s="2">
        <v>19.350000000000001</v>
      </c>
      <c r="F8" t="s">
        <v>5</v>
      </c>
    </row>
    <row r="9" spans="1:10" x14ac:dyDescent="0.3">
      <c r="A9" s="2">
        <v>41.79</v>
      </c>
      <c r="B9" s="2">
        <v>28.15</v>
      </c>
      <c r="C9" s="2">
        <v>28.6</v>
      </c>
    </row>
    <row r="10" spans="1:10" ht="15" thickBot="1" x14ac:dyDescent="0.35">
      <c r="A10" s="2">
        <v>31.5</v>
      </c>
      <c r="B10" s="2">
        <v>36.35</v>
      </c>
      <c r="C10" s="2">
        <v>42.17</v>
      </c>
      <c r="F10" t="s">
        <v>6</v>
      </c>
    </row>
    <row r="11" spans="1:10" x14ac:dyDescent="0.3">
      <c r="A11" s="2">
        <v>35.840000000000003</v>
      </c>
      <c r="B11" s="2">
        <v>23.89</v>
      </c>
      <c r="C11" s="2">
        <v>25.11</v>
      </c>
      <c r="F11" s="6" t="s">
        <v>7</v>
      </c>
      <c r="G11" s="6" t="s">
        <v>8</v>
      </c>
      <c r="H11" s="6" t="s">
        <v>9</v>
      </c>
      <c r="I11" s="6" t="s">
        <v>10</v>
      </c>
      <c r="J11" s="6" t="s">
        <v>11</v>
      </c>
    </row>
    <row r="12" spans="1:10" x14ac:dyDescent="0.3">
      <c r="A12" s="2">
        <v>40.81</v>
      </c>
      <c r="B12" s="2">
        <v>28.44</v>
      </c>
      <c r="C12" s="2">
        <v>19.98</v>
      </c>
      <c r="F12" s="4" t="s">
        <v>1</v>
      </c>
      <c r="G12" s="4">
        <v>10</v>
      </c>
      <c r="H12" s="4">
        <v>320.19</v>
      </c>
      <c r="I12" s="4">
        <v>32.018999999999998</v>
      </c>
      <c r="J12" s="4">
        <v>97.287832222222278</v>
      </c>
    </row>
    <row r="13" spans="1:10" x14ac:dyDescent="0.3">
      <c r="F13" s="4" t="s">
        <v>2</v>
      </c>
      <c r="G13" s="4">
        <v>10</v>
      </c>
      <c r="H13" s="4">
        <v>266.81</v>
      </c>
      <c r="I13" s="4">
        <v>26.681000000000001</v>
      </c>
      <c r="J13" s="4">
        <v>47.019654444444413</v>
      </c>
    </row>
    <row r="14" spans="1:10" ht="15" thickBot="1" x14ac:dyDescent="0.35">
      <c r="F14" s="5" t="s">
        <v>3</v>
      </c>
      <c r="G14" s="5">
        <v>10</v>
      </c>
      <c r="H14" s="5">
        <v>242.39000000000001</v>
      </c>
      <c r="I14" s="5">
        <v>24.239000000000001</v>
      </c>
      <c r="J14" s="5">
        <v>63.205721111111011</v>
      </c>
    </row>
    <row r="17" spans="6:14" ht="15" thickBot="1" x14ac:dyDescent="0.35">
      <c r="F17" t="s">
        <v>12</v>
      </c>
    </row>
    <row r="18" spans="6:14" x14ac:dyDescent="0.3">
      <c r="F18" s="6" t="s">
        <v>13</v>
      </c>
      <c r="G18" s="6" t="s">
        <v>14</v>
      </c>
      <c r="H18" s="6" t="s">
        <v>15</v>
      </c>
      <c r="I18" s="6" t="s">
        <v>16</v>
      </c>
      <c r="J18" s="6" t="s">
        <v>17</v>
      </c>
      <c r="K18" s="6" t="s">
        <v>18</v>
      </c>
      <c r="L18" s="6" t="s">
        <v>19</v>
      </c>
    </row>
    <row r="19" spans="6:14" x14ac:dyDescent="0.3">
      <c r="F19" s="4" t="s">
        <v>20</v>
      </c>
      <c r="G19" s="4">
        <v>316.62002666666694</v>
      </c>
      <c r="H19" s="4">
        <v>2</v>
      </c>
      <c r="I19" s="4">
        <v>158.31001333333347</v>
      </c>
      <c r="J19" s="4">
        <v>2.2886737913501607</v>
      </c>
      <c r="K19" s="4">
        <v>0.1207367757683831</v>
      </c>
      <c r="L19" s="4">
        <v>3.3541308285291991</v>
      </c>
    </row>
    <row r="20" spans="6:14" x14ac:dyDescent="0.3">
      <c r="F20" s="4" t="s">
        <v>21</v>
      </c>
      <c r="G20" s="4">
        <v>1867.6188700000002</v>
      </c>
      <c r="H20" s="4">
        <v>27</v>
      </c>
      <c r="I20" s="4">
        <v>69.171069259259269</v>
      </c>
      <c r="J20" s="4"/>
      <c r="K20" s="4"/>
      <c r="L20" s="4"/>
      <c r="N20">
        <f>G20/H20</f>
        <v>69.171069259259269</v>
      </c>
    </row>
    <row r="21" spans="6:14" x14ac:dyDescent="0.3">
      <c r="F21" s="4"/>
      <c r="G21" s="4"/>
      <c r="H21" s="4"/>
      <c r="I21" s="4"/>
      <c r="J21" s="4"/>
      <c r="K21" s="4"/>
      <c r="L21" s="4"/>
    </row>
    <row r="22" spans="6:14" ht="15" thickBot="1" x14ac:dyDescent="0.35">
      <c r="F22" s="5" t="s">
        <v>22</v>
      </c>
      <c r="G22" s="5">
        <v>2184.2388966666672</v>
      </c>
      <c r="H22" s="5">
        <v>29</v>
      </c>
      <c r="I22" s="5"/>
      <c r="J22" s="5"/>
      <c r="K22" s="5"/>
      <c r="L22" s="5"/>
    </row>
    <row r="23" spans="6:14" x14ac:dyDescent="0.3">
      <c r="N23">
        <f>150/85</f>
        <v>1.7647058823529411</v>
      </c>
    </row>
    <row r="25" spans="6:14" x14ac:dyDescent="0.3">
      <c r="K25">
        <f>I19/I20</f>
        <v>2.2886737913501607</v>
      </c>
    </row>
    <row r="26" spans="6:14" x14ac:dyDescent="0.3">
      <c r="N26">
        <f>12.5/1.765</f>
        <v>7.0821529745042495</v>
      </c>
    </row>
    <row r="27" spans="6:14" x14ac:dyDescent="0.3">
      <c r="N27">
        <f>1 - _xlfn.F.DIST(7.083, 4, 85, TRUE)</f>
        <v>5.6977028293880849E-5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Sahar Qumsiyeh</dc:creator>
  <cp:lastModifiedBy>Seth Ricks</cp:lastModifiedBy>
  <dcterms:created xsi:type="dcterms:W3CDTF">2020-07-14T14:17:20Z</dcterms:created>
  <dcterms:modified xsi:type="dcterms:W3CDTF">2026-03-02T19:26:36Z</dcterms:modified>
</cp:coreProperties>
</file>