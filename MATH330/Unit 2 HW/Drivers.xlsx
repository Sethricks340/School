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09FF77E5-78EE-4673-AF37-3917B2EC0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Sheet1!$D$1</definedName>
    <definedName name="_xlchart.v1.1" hidden="1">Sheet1!$D$2:$D$16</definedName>
    <definedName name="_xlchart.v1.2" hidden="1">Sheet1!$D$1</definedName>
    <definedName name="_xlchart.v1.3" hidden="1">Sheet1!$D$2:$D$16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7" i="1"/>
  <c r="G12" i="1"/>
  <c r="G3" i="1"/>
  <c r="G11" i="1"/>
  <c r="G10" i="1"/>
  <c r="G6" i="1"/>
  <c r="G5" i="1"/>
  <c r="G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<sst xmlns="http://schemas.openxmlformats.org/spreadsheetml/2006/main" count="15" uniqueCount="15">
  <si>
    <t>Driver</t>
  </si>
  <si>
    <t>Restrained</t>
  </si>
  <si>
    <t>Unrestrained</t>
  </si>
  <si>
    <r>
      <t>source: Statistics for Engineering and the Sciences by William M. Mendenhall and Terry Sincich, 6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Edition</t>
    </r>
  </si>
  <si>
    <t>diff</t>
  </si>
  <si>
    <t>d_bar</t>
  </si>
  <si>
    <t>s_d</t>
  </si>
  <si>
    <t>n_d</t>
  </si>
  <si>
    <t xml:space="preserve">t </t>
  </si>
  <si>
    <t>p</t>
  </si>
  <si>
    <t>CI</t>
  </si>
  <si>
    <t>t_star</t>
  </si>
  <si>
    <t xml:space="preserve">m </t>
  </si>
  <si>
    <t>UB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</si>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</sst>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387B543-F04F-446C-BD45-D87E6FA5D036}">
          <cx:tx>
            <cx:txData>
              <cx:f>_xlchart.v1.0</cx:f>
              <cx:v>diff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5</xdr:row>
      <xdr:rowOff>163830</xdr:rowOff>
    </xdr:from>
    <xdr:to>
      <xdr:col>16</xdr:col>
      <xdr:colOff>563880</xdr:colOff>
      <xdr:row>20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6B87C9-7195-AB93-6E41-19BC21676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1700" y="1101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5" sqref="G15"/>
    </sheetView>
  </sheetViews>
  <sheetFormatPr defaultRowHeight="14.4" x14ac:dyDescent="0.3"/>
  <cols>
    <col min="1" max="1" width="8.88671875" style="1"/>
    <col min="2" max="2" width="9.6640625" style="1" bestFit="1" customWidth="1"/>
    <col min="3" max="3" width="11.5546875" style="1" bestFit="1" customWidth="1"/>
  </cols>
  <sheetData>
    <row r="1" spans="1:7" ht="16.2" x14ac:dyDescent="0.3">
      <c r="A1" s="1" t="s">
        <v>0</v>
      </c>
      <c r="B1" s="1" t="s">
        <v>1</v>
      </c>
      <c r="C1" s="1" t="s">
        <v>2</v>
      </c>
      <c r="D1" s="1" t="s">
        <v>4</v>
      </c>
      <c r="E1" t="s">
        <v>3</v>
      </c>
    </row>
    <row r="2" spans="1:7" x14ac:dyDescent="0.3">
      <c r="A2" s="1">
        <v>1</v>
      </c>
      <c r="B2" s="1">
        <v>36.700000000000003</v>
      </c>
      <c r="C2" s="1">
        <v>36.1</v>
      </c>
      <c r="D2">
        <f>B2-C2</f>
        <v>0.60000000000000142</v>
      </c>
    </row>
    <row r="3" spans="1:7" x14ac:dyDescent="0.3">
      <c r="A3" s="1">
        <v>2</v>
      </c>
      <c r="B3" s="1">
        <v>37.5</v>
      </c>
      <c r="C3" s="1">
        <v>35.799999999999997</v>
      </c>
      <c r="D3">
        <f t="shared" ref="D3:D16" si="0">B3-C3</f>
        <v>1.7000000000000028</v>
      </c>
      <c r="F3" t="s">
        <v>5</v>
      </c>
      <c r="G3">
        <f>AVERAGE(D:D)</f>
        <v>1.1799999999999997</v>
      </c>
    </row>
    <row r="4" spans="1:7" x14ac:dyDescent="0.3">
      <c r="A4" s="1">
        <v>3</v>
      </c>
      <c r="B4" s="1">
        <v>39.299999999999997</v>
      </c>
      <c r="C4" s="1">
        <v>38.4</v>
      </c>
      <c r="D4">
        <f t="shared" si="0"/>
        <v>0.89999999999999858</v>
      </c>
      <c r="F4" t="s">
        <v>6</v>
      </c>
      <c r="G4">
        <f>_xlfn.STDEV.S(D:D)</f>
        <v>1.1905580924207637</v>
      </c>
    </row>
    <row r="5" spans="1:7" x14ac:dyDescent="0.3">
      <c r="A5" s="1">
        <v>4</v>
      </c>
      <c r="B5" s="1">
        <v>44</v>
      </c>
      <c r="C5" s="1">
        <v>41.7</v>
      </c>
      <c r="D5">
        <f t="shared" si="0"/>
        <v>2.2999999999999972</v>
      </c>
      <c r="F5" t="s">
        <v>7</v>
      </c>
      <c r="G5">
        <f>COUNT(D:D)</f>
        <v>15</v>
      </c>
    </row>
    <row r="6" spans="1:7" x14ac:dyDescent="0.3">
      <c r="A6" s="1">
        <v>5</v>
      </c>
      <c r="B6" s="1">
        <v>38.4</v>
      </c>
      <c r="C6" s="1">
        <v>38.299999999999997</v>
      </c>
      <c r="D6">
        <f t="shared" si="0"/>
        <v>0.10000000000000142</v>
      </c>
      <c r="F6" t="s">
        <v>8</v>
      </c>
      <c r="G6">
        <f>G3/(G4/SQRT(G5))</f>
        <v>3.8386370036193012</v>
      </c>
    </row>
    <row r="7" spans="1:7" x14ac:dyDescent="0.3">
      <c r="A7" s="1">
        <v>6</v>
      </c>
      <c r="B7" s="1">
        <v>43.1</v>
      </c>
      <c r="C7" s="1">
        <v>42.6</v>
      </c>
      <c r="D7">
        <f t="shared" si="0"/>
        <v>0.5</v>
      </c>
      <c r="F7" t="s">
        <v>9</v>
      </c>
      <c r="G7">
        <f>_xlfn.T.DIST.RT(G6,G5-1)</f>
        <v>9.0379880469400277E-4</v>
      </c>
    </row>
    <row r="8" spans="1:7" x14ac:dyDescent="0.3">
      <c r="A8" s="1">
        <v>7</v>
      </c>
      <c r="B8" s="1">
        <v>36.200000000000003</v>
      </c>
      <c r="C8" s="1">
        <v>33.6</v>
      </c>
      <c r="D8">
        <f t="shared" si="0"/>
        <v>2.6000000000000014</v>
      </c>
    </row>
    <row r="9" spans="1:7" x14ac:dyDescent="0.3">
      <c r="A9" s="1">
        <v>8</v>
      </c>
      <c r="B9" s="1">
        <v>40.6</v>
      </c>
      <c r="C9" s="1">
        <v>40.9</v>
      </c>
      <c r="D9">
        <f t="shared" si="0"/>
        <v>-0.29999999999999716</v>
      </c>
      <c r="F9" t="s">
        <v>10</v>
      </c>
      <c r="G9">
        <v>0.95</v>
      </c>
    </row>
    <row r="10" spans="1:7" x14ac:dyDescent="0.3">
      <c r="A10" s="1">
        <v>9</v>
      </c>
      <c r="B10" s="1">
        <v>34.9</v>
      </c>
      <c r="C10" s="1">
        <v>32.5</v>
      </c>
      <c r="D10">
        <f t="shared" si="0"/>
        <v>2.3999999999999986</v>
      </c>
      <c r="F10" t="s">
        <v>11</v>
      </c>
      <c r="G10">
        <f>_xlfn.T.INV.2T(1-G9, G5-1)</f>
        <v>2.1447866879178035</v>
      </c>
    </row>
    <row r="11" spans="1:7" x14ac:dyDescent="0.3">
      <c r="A11" s="1">
        <v>10</v>
      </c>
      <c r="B11" s="1">
        <v>31.7</v>
      </c>
      <c r="C11" s="1">
        <v>30.7</v>
      </c>
      <c r="D11">
        <f t="shared" si="0"/>
        <v>1</v>
      </c>
      <c r="F11" t="s">
        <v>12</v>
      </c>
      <c r="G11">
        <f>G10*G4/SQRT(G5)</f>
        <v>0.65930909574329888</v>
      </c>
    </row>
    <row r="12" spans="1:7" x14ac:dyDescent="0.3">
      <c r="A12" s="1">
        <v>11</v>
      </c>
      <c r="B12" s="1">
        <v>37.5</v>
      </c>
      <c r="C12" s="1">
        <v>37.4</v>
      </c>
      <c r="D12">
        <f t="shared" si="0"/>
        <v>0.10000000000000142</v>
      </c>
      <c r="F12" t="s">
        <v>14</v>
      </c>
      <c r="G12">
        <f>G3-G11</f>
        <v>0.52069090425670084</v>
      </c>
    </row>
    <row r="13" spans="1:7" x14ac:dyDescent="0.3">
      <c r="A13" s="1">
        <v>12</v>
      </c>
      <c r="B13" s="1">
        <v>42.8</v>
      </c>
      <c r="C13" s="1">
        <v>40.200000000000003</v>
      </c>
      <c r="D13">
        <f t="shared" si="0"/>
        <v>2.5999999999999943</v>
      </c>
      <c r="F13" t="s">
        <v>13</v>
      </c>
      <c r="G13">
        <f>G3+G11</f>
        <v>1.8393090957432987</v>
      </c>
    </row>
    <row r="14" spans="1:7" x14ac:dyDescent="0.3">
      <c r="A14" s="1">
        <v>13</v>
      </c>
      <c r="B14" s="1">
        <v>32.6</v>
      </c>
      <c r="C14" s="1">
        <v>33.1</v>
      </c>
      <c r="D14">
        <f t="shared" si="0"/>
        <v>-0.5</v>
      </c>
    </row>
    <row r="15" spans="1:7" x14ac:dyDescent="0.3">
      <c r="A15" s="1">
        <v>14</v>
      </c>
      <c r="B15" s="1">
        <v>36.799999999999997</v>
      </c>
      <c r="C15" s="1">
        <v>33.6</v>
      </c>
      <c r="D15">
        <f t="shared" si="0"/>
        <v>3.1999999999999957</v>
      </c>
    </row>
    <row r="16" spans="1:7" x14ac:dyDescent="0.3">
      <c r="A16" s="1">
        <v>15</v>
      </c>
      <c r="B16" s="1">
        <v>38</v>
      </c>
      <c r="C16" s="1">
        <v>37.5</v>
      </c>
      <c r="D16">
        <f t="shared" si="0"/>
        <v>0.5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 -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Qumsiyeh, Sahar</dc:creator>
  <cp:lastModifiedBy>Seth Ricks</cp:lastModifiedBy>
  <dcterms:created xsi:type="dcterms:W3CDTF">2017-08-27T02:50:31Z</dcterms:created>
  <dcterms:modified xsi:type="dcterms:W3CDTF">2026-02-23T19:34:48Z</dcterms:modified>
</cp:coreProperties>
</file>