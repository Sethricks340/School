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Unit 2 HW/L11 HW/"/>
    </mc:Choice>
  </mc:AlternateContent>
  <xr:revisionPtr revIDLastSave="3" documentId="13_ncr:1_{1575B6ED-E78C-4F0E-A080-16651D898BBA}" xr6:coauthVersionLast="47" xr6:coauthVersionMax="47" xr10:uidLastSave="{D6321877-8F42-4D9A-9FA9-C7BFD728EF6E}"/>
  <bookViews>
    <workbookView xWindow="-108" yWindow="-108" windowWidth="23256" windowHeight="12456" xr2:uid="{19E69B81-734F-41CF-BA06-0E47CFA93FB8}"/>
  </bookViews>
  <sheets>
    <sheet name="Sheet1" sheetId="1" r:id="rId1"/>
  </sheets>
  <definedNames>
    <definedName name="_xlchart.v1.0" hidden="1">Sheet1!$A$1</definedName>
    <definedName name="_xlchart.v1.1" hidden="1">Sheet1!$A$2:$A$10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6" i="1" s="1"/>
  <c r="E7" i="1" s="1"/>
  <c r="E4" i="1"/>
  <c r="E10" i="1"/>
  <c r="E2" i="1"/>
  <c r="E11" i="1" l="1"/>
  <c r="E13" i="1" s="1"/>
  <c r="E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<sst xmlns="http://schemas.openxmlformats.org/spreadsheetml/2006/main" count="12" uniqueCount="12">
  <si>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Purity</t>
  </si>
  <si>
    <t>x_bar</t>
  </si>
  <si>
    <t>s</t>
  </si>
  <si>
    <t>n</t>
  </si>
  <si>
    <t>t</t>
  </si>
  <si>
    <t>mu</t>
  </si>
  <si>
    <t>p_value</t>
  </si>
  <si>
    <t>CL</t>
  </si>
  <si>
    <t>t_star</t>
  </si>
  <si>
    <t>UB</t>
  </si>
  <si>
    <t>m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</si>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</sst>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FFEA546-B6F0-4D21-B68F-79C8CF5E0960}">
          <cx:tx>
            <cx:txData>
              <cx:f>_xlchart.v1.0</cx:f>
              <cx:v>Purity</cx:v>
            </cx:txData>
          </cx:tx>
          <cx:dataId val="0"/>
          <cx:layoutPr>
            <cx:binning intervalClosed="r">
              <cx:binCount val="300"/>
            </cx:binning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5</xdr:row>
      <xdr:rowOff>171450</xdr:rowOff>
    </xdr:from>
    <xdr:to>
      <xdr:col>17</xdr:col>
      <xdr:colOff>144780</xdr:colOff>
      <xdr:row>20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4D80F5-1F67-8588-F452-013E589B90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8360" y="1085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3E6D4-154D-4080-BC74-AAE739CF6EE2}">
  <dimension ref="A1:E13"/>
  <sheetViews>
    <sheetView tabSelected="1" workbookViewId="0">
      <selection activeCell="E3" sqref="E3"/>
    </sheetView>
  </sheetViews>
  <sheetFormatPr defaultRowHeight="14.4" x14ac:dyDescent="0.3"/>
  <cols>
    <col min="1" max="1" width="8.77734375" style="1"/>
  </cols>
  <sheetData>
    <row r="1" spans="1:5" x14ac:dyDescent="0.3">
      <c r="A1" s="1" t="s">
        <v>0</v>
      </c>
    </row>
    <row r="2" spans="1:5" x14ac:dyDescent="0.3">
      <c r="A2" s="1">
        <v>93.2</v>
      </c>
      <c r="D2" t="s">
        <v>1</v>
      </c>
      <c r="E2">
        <f>AVERAGE(A:A)</f>
        <v>92.666666666666671</v>
      </c>
    </row>
    <row r="3" spans="1:5" x14ac:dyDescent="0.3">
      <c r="A3" s="1">
        <v>94.2</v>
      </c>
      <c r="D3" t="s">
        <v>2</v>
      </c>
      <c r="E3" t="e" cm="1">
        <f t="array" aca="1" ref="E3" ca="1">STDEV.G7S(A:A)</f>
        <v>#NAME?</v>
      </c>
    </row>
    <row r="4" spans="1:5" x14ac:dyDescent="0.3">
      <c r="A4" s="1">
        <v>92.1</v>
      </c>
      <c r="D4" t="s">
        <v>3</v>
      </c>
      <c r="E4">
        <f>COUNT(A:A)</f>
        <v>9</v>
      </c>
    </row>
    <row r="5" spans="1:5" x14ac:dyDescent="0.3">
      <c r="A5" s="1">
        <v>90.1</v>
      </c>
      <c r="D5" t="s">
        <v>5</v>
      </c>
      <c r="E5">
        <v>95</v>
      </c>
    </row>
    <row r="6" spans="1:5" x14ac:dyDescent="0.3">
      <c r="A6" s="1">
        <v>87.3</v>
      </c>
      <c r="D6" t="s">
        <v>4</v>
      </c>
      <c r="E6" t="e">
        <f ca="1">(E2-E5)/(E3/SQRT(E4))</f>
        <v>#NAME?</v>
      </c>
    </row>
    <row r="7" spans="1:5" x14ac:dyDescent="0.3">
      <c r="A7" s="1">
        <v>93.6</v>
      </c>
      <c r="D7" t="s">
        <v>6</v>
      </c>
      <c r="E7" t="e">
        <f ca="1">_xlfn.T.DIST.2T(ABS(E6),E4-1)</f>
        <v>#NAME?</v>
      </c>
    </row>
    <row r="8" spans="1:5" x14ac:dyDescent="0.3">
      <c r="A8" s="1">
        <v>94.5</v>
      </c>
    </row>
    <row r="9" spans="1:5" x14ac:dyDescent="0.3">
      <c r="A9" s="1">
        <v>95</v>
      </c>
      <c r="D9" t="s">
        <v>7</v>
      </c>
      <c r="E9" s="2">
        <v>0.99</v>
      </c>
    </row>
    <row r="10" spans="1:5" x14ac:dyDescent="0.3">
      <c r="A10" s="1">
        <v>94</v>
      </c>
      <c r="D10" t="s">
        <v>8</v>
      </c>
      <c r="E10">
        <f>_xlfn.T.INV.2T(1-E9,8)</f>
        <v>3.3553873313333948</v>
      </c>
    </row>
    <row r="11" spans="1:5" x14ac:dyDescent="0.3">
      <c r="D11" t="s">
        <v>10</v>
      </c>
      <c r="E11" t="e">
        <f ca="1">E10*E3/SQRT(E4)</f>
        <v>#NAME?</v>
      </c>
    </row>
    <row r="12" spans="1:5" x14ac:dyDescent="0.3">
      <c r="D12" t="s">
        <v>9</v>
      </c>
      <c r="E12" t="e">
        <f ca="1">E2-E11</f>
        <v>#NAME?</v>
      </c>
    </row>
    <row r="13" spans="1:5" x14ac:dyDescent="0.3">
      <c r="D13" t="s">
        <v>11</v>
      </c>
      <c r="E13" t="e">
        <f ca="1">E2+E11</f>
        <v>#NAME?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Qumsiyeh</dc:creator>
  <cp:lastModifiedBy>Seth Ricks</cp:lastModifiedBy>
  <dcterms:created xsi:type="dcterms:W3CDTF">2020-07-10T19:08:55Z</dcterms:created>
  <dcterms:modified xsi:type="dcterms:W3CDTF">2026-02-23T18:15:59Z</dcterms:modified>
</cp:coreProperties>
</file>